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D:\MDP\Operacion\SIMC\SIMC-SSI2022-013 - Proceso Reembolso Caso Especial\"/>
    </mc:Choice>
  </mc:AlternateContent>
  <bookViews>
    <workbookView xWindow="0" yWindow="0" windowWidth="20490" windowHeight="7455" tabRatio="550" activeTab="4"/>
  </bookViews>
  <sheets>
    <sheet name="Requerimientos" sheetId="19" r:id="rId1"/>
    <sheet name="Tabla" sheetId="14" r:id="rId2"/>
    <sheet name="Parámetros" sheetId="20" r:id="rId3"/>
    <sheet name="Hoja1" sheetId="22" state="hidden" r:id="rId4"/>
    <sheet name="Estimacion" sheetId="23" r:id="rId5"/>
  </sheets>
  <calcPr calcId="152511"/>
</workbook>
</file>

<file path=xl/calcChain.xml><?xml version="1.0" encoding="utf-8"?>
<calcChain xmlns="http://schemas.openxmlformats.org/spreadsheetml/2006/main">
  <c r="S6" i="14" l="1"/>
  <c r="F9" i="19" l="1"/>
  <c r="O24" i="19" l="1"/>
  <c r="L24" i="19"/>
  <c r="I24" i="19"/>
  <c r="O33" i="19"/>
  <c r="L33" i="19"/>
  <c r="I33" i="19"/>
  <c r="O43" i="19"/>
  <c r="L43" i="19"/>
  <c r="I43" i="19"/>
  <c r="O54" i="19"/>
  <c r="L54" i="19"/>
  <c r="I54" i="19"/>
  <c r="O19" i="19"/>
  <c r="N18" i="19"/>
  <c r="P18" i="19" s="1"/>
  <c r="L19" i="19"/>
  <c r="K18" i="19"/>
  <c r="M18" i="19" s="1"/>
  <c r="I19" i="19"/>
  <c r="F18" i="19"/>
  <c r="H18" i="19"/>
  <c r="J18" i="19" s="1"/>
  <c r="I55" i="19" l="1"/>
  <c r="G18" i="19"/>
  <c r="O55" i="19"/>
  <c r="L55" i="19"/>
  <c r="F11" i="19"/>
  <c r="F10" i="19"/>
  <c r="F8" i="19"/>
  <c r="F7" i="19"/>
  <c r="F6" i="19"/>
  <c r="F5" i="19"/>
  <c r="F4" i="19"/>
  <c r="C5" i="19"/>
  <c r="C6" i="19" s="1"/>
  <c r="C7" i="19" s="1"/>
  <c r="C8" i="19" s="1"/>
  <c r="C9" i="19" s="1"/>
  <c r="C10" i="19" s="1"/>
  <c r="C11" i="19" s="1"/>
  <c r="C12" i="19" s="1"/>
  <c r="C13" i="19" s="1"/>
  <c r="C14" i="19" s="1"/>
  <c r="C15" i="19" s="1"/>
  <c r="C16" i="19" s="1"/>
  <c r="C17" i="19" s="1"/>
  <c r="C18" i="19" l="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F53" i="19"/>
  <c r="F52" i="19"/>
  <c r="F51" i="19"/>
  <c r="F50" i="19"/>
  <c r="F49" i="19"/>
  <c r="F48" i="19"/>
  <c r="F47" i="19"/>
  <c r="F46" i="19"/>
  <c r="F45" i="19"/>
  <c r="F44" i="19"/>
  <c r="F42" i="19"/>
  <c r="F41" i="19"/>
  <c r="F40" i="19"/>
  <c r="F39" i="19"/>
  <c r="F38" i="19"/>
  <c r="F37" i="19"/>
  <c r="F36" i="19"/>
  <c r="F35" i="19"/>
  <c r="F34" i="19"/>
  <c r="F25" i="19"/>
  <c r="F32" i="19"/>
  <c r="F31" i="19"/>
  <c r="F30" i="19"/>
  <c r="F29" i="19"/>
  <c r="F28" i="19"/>
  <c r="F27" i="19"/>
  <c r="F26" i="19"/>
  <c r="F23" i="19"/>
  <c r="F22" i="19"/>
  <c r="F21" i="19"/>
  <c r="F20" i="19"/>
  <c r="F17" i="19" l="1"/>
  <c r="F16" i="19"/>
  <c r="F14" i="19"/>
  <c r="F13" i="19"/>
  <c r="F12" i="19"/>
  <c r="F15" i="19"/>
  <c r="S17" i="14" l="1"/>
  <c r="Q50" i="19"/>
  <c r="N50" i="19"/>
  <c r="P50" i="19" s="1"/>
  <c r="K50" i="19"/>
  <c r="M50" i="19" s="1"/>
  <c r="H50" i="19"/>
  <c r="J50" i="19" s="1"/>
  <c r="Q47" i="19"/>
  <c r="N47" i="19"/>
  <c r="P47" i="19" s="1"/>
  <c r="K47" i="19"/>
  <c r="M47" i="19" s="1"/>
  <c r="H47" i="19"/>
  <c r="J47" i="19" s="1"/>
  <c r="Q44" i="19"/>
  <c r="N44" i="19"/>
  <c r="P44" i="19" s="1"/>
  <c r="K44" i="19"/>
  <c r="M44" i="19" s="1"/>
  <c r="H44" i="19"/>
  <c r="J44" i="19" s="1"/>
  <c r="F43" i="19"/>
  <c r="Q38" i="19"/>
  <c r="N38" i="19"/>
  <c r="P38" i="19" s="1"/>
  <c r="K38" i="19"/>
  <c r="M38" i="19" s="1"/>
  <c r="H38" i="19"/>
  <c r="J38" i="19" s="1"/>
  <c r="Q34" i="19"/>
  <c r="N34" i="19"/>
  <c r="P34" i="19" s="1"/>
  <c r="K34" i="19"/>
  <c r="M34" i="19" s="1"/>
  <c r="H34" i="19"/>
  <c r="J34" i="19" s="1"/>
  <c r="F33" i="19"/>
  <c r="Q29" i="19"/>
  <c r="N29" i="19"/>
  <c r="P29" i="19" s="1"/>
  <c r="K29" i="19"/>
  <c r="M29" i="19" s="1"/>
  <c r="H29" i="19"/>
  <c r="J29" i="19" s="1"/>
  <c r="Q25" i="19"/>
  <c r="N25" i="19"/>
  <c r="K25" i="19"/>
  <c r="H25" i="19"/>
  <c r="J25" i="19" s="1"/>
  <c r="F24" i="19"/>
  <c r="G50" i="19" l="1"/>
  <c r="G47" i="19"/>
  <c r="M25" i="19"/>
  <c r="G34" i="19"/>
  <c r="G44" i="19"/>
  <c r="P25" i="19"/>
  <c r="G29" i="19"/>
  <c r="G38" i="19"/>
  <c r="Q13" i="14"/>
  <c r="R13" i="14" s="1"/>
  <c r="Q14" i="14"/>
  <c r="Q15" i="14"/>
  <c r="Q12" i="14"/>
  <c r="Q10" i="14"/>
  <c r="Z10" i="14" s="1"/>
  <c r="Q7" i="14"/>
  <c r="R7" i="14" s="1"/>
  <c r="Q8" i="14"/>
  <c r="F54" i="19"/>
  <c r="F19" i="19"/>
  <c r="U55" i="19"/>
  <c r="T55" i="19"/>
  <c r="S55" i="19"/>
  <c r="G25" i="19" l="1"/>
  <c r="Z13" i="14"/>
  <c r="Y13" i="14"/>
  <c r="W13" i="14"/>
  <c r="V13" i="14"/>
  <c r="U13" i="14"/>
  <c r="X13" i="14" s="1"/>
  <c r="H13" i="14" s="1"/>
  <c r="S13" i="14"/>
  <c r="T13" i="14" s="1"/>
  <c r="J13" i="14" s="1"/>
  <c r="S14" i="14"/>
  <c r="W14" i="14"/>
  <c r="V14" i="14"/>
  <c r="U14" i="14"/>
  <c r="Y14" i="14"/>
  <c r="R14" i="14"/>
  <c r="Z14" i="14"/>
  <c r="Y10" i="14"/>
  <c r="AA10" i="14" s="1"/>
  <c r="I10" i="14" s="1"/>
  <c r="U10" i="14"/>
  <c r="V10" i="14"/>
  <c r="W10" i="14"/>
  <c r="W12" i="14"/>
  <c r="R12" i="14"/>
  <c r="Z12" i="14"/>
  <c r="V12" i="14"/>
  <c r="S12" i="14"/>
  <c r="Y12" i="14"/>
  <c r="U12" i="14"/>
  <c r="R10" i="14"/>
  <c r="Y15" i="14"/>
  <c r="Z15" i="14"/>
  <c r="R15" i="14"/>
  <c r="W15" i="14"/>
  <c r="V15" i="14"/>
  <c r="S15" i="14"/>
  <c r="U15" i="14"/>
  <c r="Y7" i="14"/>
  <c r="S7" i="14"/>
  <c r="T7" i="14" s="1"/>
  <c r="S10" i="14"/>
  <c r="U7" i="14"/>
  <c r="V7" i="14"/>
  <c r="Z7" i="14"/>
  <c r="W7" i="14"/>
  <c r="W8" i="14"/>
  <c r="U8" i="14"/>
  <c r="Z8" i="14"/>
  <c r="Y8" i="14"/>
  <c r="S8" i="14"/>
  <c r="R8" i="14"/>
  <c r="V8" i="14"/>
  <c r="C55" i="19"/>
  <c r="U111" i="14"/>
  <c r="AA13" i="14" l="1"/>
  <c r="I13" i="14" s="1"/>
  <c r="X14" i="14"/>
  <c r="H14" i="14" s="1"/>
  <c r="T14" i="14"/>
  <c r="AA14" i="14"/>
  <c r="I14" i="14" s="1"/>
  <c r="K13" i="14"/>
  <c r="AA8" i="14"/>
  <c r="I8" i="14" s="1"/>
  <c r="G13" i="14"/>
  <c r="L13" i="14"/>
  <c r="N13" i="14"/>
  <c r="M13" i="14"/>
  <c r="T15" i="14"/>
  <c r="L15" i="14" s="1"/>
  <c r="T8" i="14"/>
  <c r="N8" i="14" s="1"/>
  <c r="AA7" i="14"/>
  <c r="I7" i="14" s="1"/>
  <c r="X12" i="14"/>
  <c r="H12" i="14" s="1"/>
  <c r="X10" i="14"/>
  <c r="H10" i="14" s="1"/>
  <c r="T10" i="14"/>
  <c r="L10" i="14" s="1"/>
  <c r="AA12" i="14"/>
  <c r="I12" i="14" s="1"/>
  <c r="Q8" i="19" s="1"/>
  <c r="AA15" i="14"/>
  <c r="I15" i="14" s="1"/>
  <c r="T12" i="14"/>
  <c r="X15" i="14"/>
  <c r="H15" i="14" s="1"/>
  <c r="X7" i="14"/>
  <c r="H7" i="14" s="1"/>
  <c r="X8" i="14"/>
  <c r="H8" i="14" s="1"/>
  <c r="M7" i="14"/>
  <c r="L7" i="14"/>
  <c r="K7" i="14"/>
  <c r="J7" i="14"/>
  <c r="G7" i="14"/>
  <c r="N7" i="14"/>
  <c r="Q11" i="14"/>
  <c r="Q9" i="14"/>
  <c r="Q6" i="14"/>
  <c r="Q7" i="19" l="1"/>
  <c r="Q10" i="19"/>
  <c r="O13" i="14"/>
  <c r="F13" i="14" s="1"/>
  <c r="J14" i="14"/>
  <c r="G14" i="14"/>
  <c r="L14" i="14"/>
  <c r="N14" i="14"/>
  <c r="M14" i="14"/>
  <c r="K14" i="14"/>
  <c r="M15" i="14"/>
  <c r="K15" i="14"/>
  <c r="N10" i="19"/>
  <c r="P10" i="19" s="1"/>
  <c r="N15" i="14"/>
  <c r="N7" i="19"/>
  <c r="P7" i="19" s="1"/>
  <c r="N8" i="19"/>
  <c r="P8" i="19" s="1"/>
  <c r="J15" i="14"/>
  <c r="G10" i="14"/>
  <c r="G15" i="14"/>
  <c r="K8" i="14"/>
  <c r="L8" i="14"/>
  <c r="M8" i="14"/>
  <c r="G8" i="14"/>
  <c r="J8" i="14"/>
  <c r="M10" i="14"/>
  <c r="J10" i="14"/>
  <c r="K10" i="14"/>
  <c r="N10" i="14"/>
  <c r="L12" i="14"/>
  <c r="K12" i="14"/>
  <c r="N12" i="14"/>
  <c r="M12" i="14"/>
  <c r="G12" i="14"/>
  <c r="J12" i="14"/>
  <c r="O7" i="14"/>
  <c r="E7" i="14" s="1"/>
  <c r="S9" i="14"/>
  <c r="V9" i="14"/>
  <c r="U9" i="14"/>
  <c r="W9" i="14"/>
  <c r="Z9" i="14"/>
  <c r="R9" i="14"/>
  <c r="Y9" i="14"/>
  <c r="Z6" i="14"/>
  <c r="V6" i="14"/>
  <c r="Y6" i="14"/>
  <c r="U6" i="14"/>
  <c r="R6" i="14"/>
  <c r="W6" i="14"/>
  <c r="Z11" i="14"/>
  <c r="Y11" i="14"/>
  <c r="U11" i="14"/>
  <c r="V11" i="14"/>
  <c r="R11" i="14"/>
  <c r="W11" i="14"/>
  <c r="S11" i="14"/>
  <c r="E13" i="14" l="1"/>
  <c r="O14" i="14"/>
  <c r="O15" i="14"/>
  <c r="F15" i="14" s="1"/>
  <c r="K7" i="19"/>
  <c r="M7" i="19" s="1"/>
  <c r="R7" i="19" s="1"/>
  <c r="K8" i="19"/>
  <c r="M8" i="19" s="1"/>
  <c r="R8" i="19" s="1"/>
  <c r="K10" i="19"/>
  <c r="M10" i="19" s="1"/>
  <c r="O8" i="14"/>
  <c r="F8" i="14" s="1"/>
  <c r="AA11" i="14"/>
  <c r="I11" i="14" s="1"/>
  <c r="Q12" i="19" s="1"/>
  <c r="O10" i="14"/>
  <c r="E10" i="14" s="1"/>
  <c r="O12" i="14"/>
  <c r="T9" i="14"/>
  <c r="G9" i="14" s="1"/>
  <c r="K39" i="19" s="1"/>
  <c r="M39" i="19" s="1"/>
  <c r="F7" i="14"/>
  <c r="AA6" i="14"/>
  <c r="I6" i="14" s="1"/>
  <c r="Q35" i="19" s="1"/>
  <c r="T6" i="14"/>
  <c r="N6" i="14" s="1"/>
  <c r="X11" i="14"/>
  <c r="H11" i="14" s="1"/>
  <c r="X9" i="14"/>
  <c r="H9" i="14" s="1"/>
  <c r="T11" i="14"/>
  <c r="Q48" i="19"/>
  <c r="Q53" i="19"/>
  <c r="Q45" i="19"/>
  <c r="Q30" i="19"/>
  <c r="Q28" i="19"/>
  <c r="Q42" i="19"/>
  <c r="Q27" i="19"/>
  <c r="Q51" i="19"/>
  <c r="Q49" i="19"/>
  <c r="Q46" i="19"/>
  <c r="Q31" i="19"/>
  <c r="Q21" i="19"/>
  <c r="Q20" i="19"/>
  <c r="X6" i="14"/>
  <c r="H6" i="14" s="1"/>
  <c r="N35" i="19" s="1"/>
  <c r="P35" i="19" s="1"/>
  <c r="AA9" i="14"/>
  <c r="I9" i="14" s="1"/>
  <c r="Q9" i="19" l="1"/>
  <c r="Q17" i="19"/>
  <c r="Q6" i="19"/>
  <c r="Q11" i="19"/>
  <c r="N6" i="19"/>
  <c r="P6" i="19" s="1"/>
  <c r="N17" i="19"/>
  <c r="P17" i="19" s="1"/>
  <c r="N11" i="19"/>
  <c r="P11" i="19" s="1"/>
  <c r="N9" i="19"/>
  <c r="P9" i="19" s="1"/>
  <c r="F14" i="14"/>
  <c r="E14" i="14"/>
  <c r="E15" i="14"/>
  <c r="E8" i="14"/>
  <c r="N49" i="19"/>
  <c r="P49" i="19" s="1"/>
  <c r="N4" i="19"/>
  <c r="P4" i="19" s="1"/>
  <c r="N5" i="19"/>
  <c r="P5" i="19" s="1"/>
  <c r="Q4" i="19"/>
  <c r="Q5" i="19"/>
  <c r="Q13" i="19"/>
  <c r="Q14" i="19"/>
  <c r="F10" i="14"/>
  <c r="K9" i="14"/>
  <c r="J9" i="14"/>
  <c r="M9" i="14"/>
  <c r="F12" i="14"/>
  <c r="E12" i="14"/>
  <c r="L9" i="14"/>
  <c r="N9" i="14"/>
  <c r="N41" i="19"/>
  <c r="P41" i="19" s="1"/>
  <c r="Q52" i="19"/>
  <c r="Q54" i="19" s="1"/>
  <c r="Q41" i="19"/>
  <c r="N52" i="19"/>
  <c r="P52" i="19" s="1"/>
  <c r="N12" i="19"/>
  <c r="P12" i="19" s="1"/>
  <c r="N31" i="19"/>
  <c r="P31" i="19" s="1"/>
  <c r="K36" i="19"/>
  <c r="M36" i="19" s="1"/>
  <c r="K6" i="14"/>
  <c r="K26" i="19"/>
  <c r="G6" i="14"/>
  <c r="K35" i="19" s="1"/>
  <c r="M35" i="19" s="1"/>
  <c r="L6" i="14"/>
  <c r="N23" i="19"/>
  <c r="P23" i="19" s="1"/>
  <c r="N32" i="19"/>
  <c r="P32" i="19" s="1"/>
  <c r="N20" i="19"/>
  <c r="N28" i="19"/>
  <c r="P28" i="19" s="1"/>
  <c r="N53" i="19"/>
  <c r="P53" i="19" s="1"/>
  <c r="N21" i="19"/>
  <c r="P21" i="19" s="1"/>
  <c r="N13" i="19"/>
  <c r="P13" i="19" s="1"/>
  <c r="N51" i="19"/>
  <c r="P51" i="19" s="1"/>
  <c r="N48" i="19"/>
  <c r="P48" i="19" s="1"/>
  <c r="M6" i="14"/>
  <c r="J6" i="14"/>
  <c r="N36" i="19"/>
  <c r="P36" i="19" s="1"/>
  <c r="N14" i="19"/>
  <c r="P14" i="19" s="1"/>
  <c r="N42" i="19"/>
  <c r="P42" i="19" s="1"/>
  <c r="N30" i="19"/>
  <c r="P30" i="19" s="1"/>
  <c r="N46" i="19"/>
  <c r="P46" i="19" s="1"/>
  <c r="N16" i="19"/>
  <c r="P16" i="19" s="1"/>
  <c r="N40" i="19"/>
  <c r="P40" i="19" s="1"/>
  <c r="N39" i="19"/>
  <c r="P39" i="19" s="1"/>
  <c r="N15" i="19"/>
  <c r="P15" i="19" s="1"/>
  <c r="N37" i="19"/>
  <c r="P37" i="19" s="1"/>
  <c r="N27" i="19"/>
  <c r="P27" i="19" s="1"/>
  <c r="N45" i="19"/>
  <c r="P45" i="19" s="1"/>
  <c r="N22" i="19"/>
  <c r="P22" i="19" s="1"/>
  <c r="N26" i="19"/>
  <c r="K40" i="19"/>
  <c r="M40" i="19" s="1"/>
  <c r="K32" i="19"/>
  <c r="M32" i="19" s="1"/>
  <c r="K22" i="19"/>
  <c r="M22" i="19" s="1"/>
  <c r="K37" i="19"/>
  <c r="M37" i="19" s="1"/>
  <c r="G11" i="14"/>
  <c r="K16" i="19" s="1"/>
  <c r="M16" i="19" s="1"/>
  <c r="M11" i="14"/>
  <c r="L11" i="14"/>
  <c r="J11" i="14"/>
  <c r="K11" i="14"/>
  <c r="N11" i="14"/>
  <c r="K23" i="19"/>
  <c r="M23" i="19" s="1"/>
  <c r="Q32" i="19"/>
  <c r="Q26" i="19"/>
  <c r="Q39" i="19"/>
  <c r="Q37" i="19"/>
  <c r="Q40" i="19"/>
  <c r="Q36" i="19"/>
  <c r="Q23" i="19"/>
  <c r="Q22" i="19"/>
  <c r="Q15" i="19"/>
  <c r="Q16" i="19"/>
  <c r="H40" i="19"/>
  <c r="J40" i="19" s="1"/>
  <c r="H36" i="19"/>
  <c r="J36" i="19" s="1"/>
  <c r="H39" i="19"/>
  <c r="J39" i="19" s="1"/>
  <c r="H37" i="19"/>
  <c r="J37" i="19" s="1"/>
  <c r="Q24" i="19" l="1"/>
  <c r="P43" i="19"/>
  <c r="M26" i="19"/>
  <c r="N24" i="19"/>
  <c r="P20" i="19"/>
  <c r="P24" i="19" s="1"/>
  <c r="G37" i="19"/>
  <c r="P54" i="19"/>
  <c r="G39" i="19"/>
  <c r="P26" i="19"/>
  <c r="P33" i="19" s="1"/>
  <c r="N33" i="19"/>
  <c r="G36" i="19"/>
  <c r="G40" i="19"/>
  <c r="Q33" i="19"/>
  <c r="P19" i="19"/>
  <c r="Q19" i="19"/>
  <c r="N19" i="19"/>
  <c r="K11" i="19"/>
  <c r="M11" i="19" s="1"/>
  <c r="K6" i="19"/>
  <c r="M6" i="19" s="1"/>
  <c r="R6" i="19" s="1"/>
  <c r="K17" i="19"/>
  <c r="M17" i="19" s="1"/>
  <c r="K9" i="19"/>
  <c r="M9" i="19" s="1"/>
  <c r="R9" i="19" s="1"/>
  <c r="K5" i="19"/>
  <c r="M5" i="19" s="1"/>
  <c r="R5" i="19" s="1"/>
  <c r="K4" i="19"/>
  <c r="M4" i="19" s="1"/>
  <c r="R4" i="19" s="1"/>
  <c r="K15" i="19"/>
  <c r="M15" i="19" s="1"/>
  <c r="O9" i="14"/>
  <c r="F9" i="14" s="1"/>
  <c r="H32" i="19"/>
  <c r="J32" i="19" s="1"/>
  <c r="G32" i="19" s="1"/>
  <c r="H22" i="19"/>
  <c r="J22" i="19" s="1"/>
  <c r="G22" i="19" s="1"/>
  <c r="N54" i="19"/>
  <c r="N43" i="19"/>
  <c r="K52" i="19"/>
  <c r="M52" i="19" s="1"/>
  <c r="K41" i="19"/>
  <c r="M41" i="19" s="1"/>
  <c r="O6" i="14"/>
  <c r="E6" i="14" s="1"/>
  <c r="Q43" i="19"/>
  <c r="H23" i="19"/>
  <c r="J23" i="19" s="1"/>
  <c r="G23" i="19" s="1"/>
  <c r="H26" i="19"/>
  <c r="J26" i="19" s="1"/>
  <c r="K51" i="19"/>
  <c r="M51" i="19" s="1"/>
  <c r="K27" i="19"/>
  <c r="M27" i="19" s="1"/>
  <c r="K48" i="19"/>
  <c r="M48" i="19" s="1"/>
  <c r="K20" i="19"/>
  <c r="K42" i="19"/>
  <c r="M42" i="19" s="1"/>
  <c r="K49" i="19"/>
  <c r="M49" i="19" s="1"/>
  <c r="K30" i="19"/>
  <c r="M30" i="19" s="1"/>
  <c r="K53" i="19"/>
  <c r="M53" i="19" s="1"/>
  <c r="K12" i="19"/>
  <c r="M12" i="19" s="1"/>
  <c r="K21" i="19"/>
  <c r="M21" i="19" s="1"/>
  <c r="K14" i="19"/>
  <c r="M14" i="19" s="1"/>
  <c r="K46" i="19"/>
  <c r="M46" i="19" s="1"/>
  <c r="K28" i="19"/>
  <c r="M28" i="19" s="1"/>
  <c r="K45" i="19"/>
  <c r="M45" i="19" s="1"/>
  <c r="K13" i="19"/>
  <c r="M13" i="19" s="1"/>
  <c r="K31" i="19"/>
  <c r="M31" i="19" s="1"/>
  <c r="O11" i="14"/>
  <c r="M43" i="19" l="1"/>
  <c r="K33" i="19"/>
  <c r="G26" i="19"/>
  <c r="P55" i="19"/>
  <c r="D10" i="23" s="1"/>
  <c r="M33" i="19"/>
  <c r="M54" i="19"/>
  <c r="M20" i="19"/>
  <c r="M24" i="19" s="1"/>
  <c r="K24" i="19"/>
  <c r="K19" i="19"/>
  <c r="E9" i="14"/>
  <c r="K43" i="19"/>
  <c r="N55" i="19"/>
  <c r="F6" i="14"/>
  <c r="Q55" i="19"/>
  <c r="D11" i="23" s="1"/>
  <c r="F11" i="14"/>
  <c r="E11" i="14"/>
  <c r="K54" i="19"/>
  <c r="H10" i="19" l="1"/>
  <c r="J10" i="19" s="1"/>
  <c r="G10" i="19" s="1"/>
  <c r="H8" i="19"/>
  <c r="J8" i="19" s="1"/>
  <c r="G8" i="19" s="1"/>
  <c r="M19" i="19"/>
  <c r="M55" i="19" s="1"/>
  <c r="D9" i="23" s="1"/>
  <c r="H35" i="19"/>
  <c r="J35" i="19" s="1"/>
  <c r="G35" i="19" s="1"/>
  <c r="H7" i="19"/>
  <c r="J7" i="19" s="1"/>
  <c r="G7" i="19" s="1"/>
  <c r="H11" i="19"/>
  <c r="J11" i="19" s="1"/>
  <c r="G11" i="19" s="1"/>
  <c r="H6" i="19"/>
  <c r="J6" i="19" s="1"/>
  <c r="G6" i="19" s="1"/>
  <c r="H9" i="19"/>
  <c r="J9" i="19" s="1"/>
  <c r="G9" i="19" s="1"/>
  <c r="H16" i="19"/>
  <c r="J16" i="19" s="1"/>
  <c r="G16" i="19" s="1"/>
  <c r="H17" i="19"/>
  <c r="J17" i="19" s="1"/>
  <c r="G17" i="19" s="1"/>
  <c r="H4" i="19"/>
  <c r="J4" i="19" s="1"/>
  <c r="G4" i="19" s="1"/>
  <c r="H5" i="19"/>
  <c r="J5" i="19" s="1"/>
  <c r="G5" i="19" s="1"/>
  <c r="H15" i="19"/>
  <c r="J15" i="19" s="1"/>
  <c r="G15" i="19" s="1"/>
  <c r="H52" i="19"/>
  <c r="J52" i="19" s="1"/>
  <c r="G52" i="19" s="1"/>
  <c r="H41" i="19"/>
  <c r="J41" i="19" s="1"/>
  <c r="G41" i="19" s="1"/>
  <c r="K55" i="19"/>
  <c r="H42" i="19"/>
  <c r="J42" i="19" s="1"/>
  <c r="G42" i="19" s="1"/>
  <c r="H46" i="19"/>
  <c r="J46" i="19" s="1"/>
  <c r="G46" i="19" s="1"/>
  <c r="H53" i="19"/>
  <c r="J53" i="19" s="1"/>
  <c r="G53" i="19" s="1"/>
  <c r="H21" i="19"/>
  <c r="J21" i="19" s="1"/>
  <c r="G21" i="19" s="1"/>
  <c r="H27" i="19"/>
  <c r="J27" i="19" s="1"/>
  <c r="H49" i="19"/>
  <c r="J49" i="19" s="1"/>
  <c r="G49" i="19" s="1"/>
  <c r="H20" i="19"/>
  <c r="H14" i="19"/>
  <c r="J14" i="19" s="1"/>
  <c r="G14" i="19" s="1"/>
  <c r="H30" i="19"/>
  <c r="J30" i="19" s="1"/>
  <c r="G30" i="19" s="1"/>
  <c r="H31" i="19"/>
  <c r="J31" i="19" s="1"/>
  <c r="G31" i="19" s="1"/>
  <c r="H45" i="19"/>
  <c r="J45" i="19" s="1"/>
  <c r="H13" i="19"/>
  <c r="J13" i="19" s="1"/>
  <c r="G13" i="19" s="1"/>
  <c r="H12" i="19"/>
  <c r="J12" i="19" s="1"/>
  <c r="G12" i="19" s="1"/>
  <c r="H51" i="19"/>
  <c r="J51" i="19" s="1"/>
  <c r="G51" i="19" s="1"/>
  <c r="H28" i="19"/>
  <c r="J28" i="19" s="1"/>
  <c r="G28" i="19" s="1"/>
  <c r="H48" i="19"/>
  <c r="J48" i="19" s="1"/>
  <c r="G48" i="19" s="1"/>
  <c r="G27" i="19" l="1"/>
  <c r="G33" i="19" s="1"/>
  <c r="W25" i="19" s="1"/>
  <c r="J33" i="19"/>
  <c r="G45" i="19"/>
  <c r="G54" i="19" s="1"/>
  <c r="W44" i="19" s="1"/>
  <c r="J54" i="19"/>
  <c r="J20" i="19"/>
  <c r="H24" i="19"/>
  <c r="J43" i="19"/>
  <c r="H19" i="19"/>
  <c r="H43" i="19"/>
  <c r="G43" i="19"/>
  <c r="W34" i="19" s="1"/>
  <c r="H33" i="19"/>
  <c r="H54" i="19"/>
  <c r="G20" i="19" l="1"/>
  <c r="G24" i="19" s="1"/>
  <c r="W20" i="19" s="1"/>
  <c r="J24" i="19"/>
  <c r="J19" i="19"/>
  <c r="G19" i="19"/>
  <c r="H55" i="19"/>
  <c r="J55" i="19" l="1"/>
  <c r="D8" i="23" s="1"/>
  <c r="G55" i="19"/>
  <c r="D7" i="23" s="1"/>
  <c r="D12" i="23" l="1"/>
  <c r="Q56" i="19"/>
  <c r="K56" i="19"/>
  <c r="W55" i="19"/>
  <c r="N56" i="19"/>
  <c r="H56" i="19"/>
</calcChain>
</file>

<file path=xl/comments1.xml><?xml version="1.0" encoding="utf-8"?>
<comments xmlns="http://schemas.openxmlformats.org/spreadsheetml/2006/main">
  <authors>
    <author>Kenny</author>
  </authors>
  <commentList>
    <comment ref="D23" authorId="0" shapeId="0">
      <text>
        <r>
          <rPr>
            <b/>
            <sz val="9"/>
            <color indexed="81"/>
            <rFont val="Tahoma"/>
            <family val="2"/>
          </rPr>
          <t>Kenny:</t>
        </r>
        <r>
          <rPr>
            <sz val="9"/>
            <color indexed="81"/>
            <rFont val="Tahoma"/>
            <family val="2"/>
          </rPr>
          <t xml:space="preserve">
Módulos impactados:
- Comisiones
- Transacciones
- QR
- Auditoría</t>
        </r>
      </text>
    </comment>
    <comment ref="D24" authorId="0" shapeId="0">
      <text>
        <r>
          <rPr>
            <b/>
            <sz val="9"/>
            <color indexed="81"/>
            <rFont val="Tahoma"/>
            <family val="2"/>
          </rPr>
          <t>Kenny:</t>
        </r>
        <r>
          <rPr>
            <sz val="9"/>
            <color indexed="81"/>
            <rFont val="Tahoma"/>
            <family val="2"/>
          </rPr>
          <t xml:space="preserve">
Módulos impactados:
- Comisiones
- Transacciones
- QR
- Auditoría</t>
        </r>
      </text>
    </comment>
    <comment ref="D28" authorId="0" shapeId="0">
      <text>
        <r>
          <rPr>
            <b/>
            <sz val="9"/>
            <color indexed="81"/>
            <rFont val="Tahoma"/>
            <family val="2"/>
          </rPr>
          <t>Kenny:</t>
        </r>
        <r>
          <rPr>
            <sz val="9"/>
            <color indexed="81"/>
            <rFont val="Tahoma"/>
            <family val="2"/>
          </rPr>
          <t xml:space="preserve">
Módulos impactados:
- Comisiones
- Transacciones
- QR
- Auditoría</t>
        </r>
      </text>
    </comment>
    <comment ref="D42" authorId="0" shapeId="0">
      <text>
        <r>
          <rPr>
            <b/>
            <sz val="9"/>
            <color indexed="81"/>
            <rFont val="Tahoma"/>
            <family val="2"/>
          </rPr>
          <t>Kenny:</t>
        </r>
        <r>
          <rPr>
            <sz val="9"/>
            <color indexed="81"/>
            <rFont val="Tahoma"/>
            <family val="2"/>
          </rPr>
          <t xml:space="preserve">
Módulos impactados:
- Comisiones
- Transacciones
- QR
- Auditoría</t>
        </r>
      </text>
    </comment>
    <comment ref="D53" authorId="0" shapeId="0">
      <text>
        <r>
          <rPr>
            <b/>
            <sz val="9"/>
            <color indexed="81"/>
            <rFont val="Tahoma"/>
            <family val="2"/>
          </rPr>
          <t>Kenny:</t>
        </r>
        <r>
          <rPr>
            <sz val="9"/>
            <color indexed="81"/>
            <rFont val="Tahoma"/>
            <family val="2"/>
          </rPr>
          <t xml:space="preserve">
Módulos impactados:
- Comisiones
- Transacciones
- QR
- Auditoría</t>
        </r>
      </text>
    </comment>
  </commentList>
</comments>
</file>

<file path=xl/sharedStrings.xml><?xml version="1.0" encoding="utf-8"?>
<sst xmlns="http://schemas.openxmlformats.org/spreadsheetml/2006/main" count="148" uniqueCount="102">
  <si>
    <t>Dificultad</t>
  </si>
  <si>
    <t>Baja</t>
  </si>
  <si>
    <t>Media</t>
  </si>
  <si>
    <t>Alta</t>
  </si>
  <si>
    <t>Compleja</t>
  </si>
  <si>
    <t>Requerimiento</t>
  </si>
  <si>
    <t>Tabla de niveles de dificultad</t>
  </si>
  <si>
    <t>TOTAL</t>
  </si>
  <si>
    <t>1 hr</t>
  </si>
  <si>
    <t>Diseño</t>
  </si>
  <si>
    <t>Documentación</t>
  </si>
  <si>
    <t>Análisis</t>
  </si>
  <si>
    <t>Arquitectura</t>
  </si>
  <si>
    <t>Análisis &amp; Diseño</t>
  </si>
  <si>
    <t>Elaboración de Casos de Pruebas</t>
  </si>
  <si>
    <t>Total Diseño</t>
  </si>
  <si>
    <t>Desarrollo</t>
  </si>
  <si>
    <t>Pruebas Unitarias</t>
  </si>
  <si>
    <t>Testing</t>
  </si>
  <si>
    <t>Preparación de Datos</t>
  </si>
  <si>
    <t>Pruebas Integrales</t>
  </si>
  <si>
    <t>Pruebas No Funcionales</t>
  </si>
  <si>
    <t>Total Desarrollo</t>
  </si>
  <si>
    <t>Otros</t>
  </si>
  <si>
    <t>Total Testing</t>
  </si>
  <si>
    <t>Elaboración de Pase</t>
  </si>
  <si>
    <t>Soporte Incidencias</t>
  </si>
  <si>
    <t>Total Otros</t>
  </si>
  <si>
    <t>Descripción</t>
  </si>
  <si>
    <t>Estimación Esfuerzo</t>
  </si>
  <si>
    <t>Código</t>
  </si>
  <si>
    <t>Anállisis y Diseño</t>
  </si>
  <si>
    <t>.NET</t>
  </si>
  <si>
    <t>Java</t>
  </si>
  <si>
    <t>PHP</t>
  </si>
  <si>
    <t>Tecnología de Desarrollo</t>
  </si>
  <si>
    <t>Tecnología</t>
  </si>
  <si>
    <t>Desarrollo Tecnología</t>
  </si>
  <si>
    <t>Python</t>
  </si>
  <si>
    <t>IOS</t>
  </si>
  <si>
    <t>Android</t>
  </si>
  <si>
    <t>Lenguaje</t>
  </si>
  <si>
    <t>Peso</t>
  </si>
  <si>
    <t>Real</t>
  </si>
  <si>
    <t>¿Porque?</t>
  </si>
  <si>
    <t>Ser asertivos en la estimación, disminuir desviaciones de lo que realmente se necesita para atender una necesidad</t>
  </si>
  <si>
    <t>Situación Actual</t>
  </si>
  <si>
    <t>El mundo ideal</t>
  </si>
  <si>
    <t>Cuando mas detalle se tenga del alcance se puede mejorar la precisión</t>
  </si>
  <si>
    <t>Pre Venta</t>
  </si>
  <si>
    <t>On Going</t>
  </si>
  <si>
    <t>RSIS o US</t>
  </si>
  <si>
    <r>
      <rPr>
        <sz val="10"/>
        <color rgb="FFFF0000"/>
        <rFont val="Arial"/>
        <family val="2"/>
      </rPr>
      <t>Basado en juicio experto.</t>
    </r>
    <r>
      <rPr>
        <sz val="10"/>
        <rFont val="Arial"/>
        <family val="2"/>
      </rPr>
      <t xml:space="preserve"> Por lo tanto depende de la experiencia y conocimiento de quien lo haga</t>
    </r>
  </si>
  <si>
    <t>Componentes/Objetos (resultado del A&amp;D) o US Refinados</t>
  </si>
  <si>
    <t>Juicio Experto</t>
  </si>
  <si>
    <t>Estimación Ofrecida</t>
  </si>
  <si>
    <t>Ninguna</t>
  </si>
  <si>
    <t>Nro RSIS/Componente</t>
  </si>
  <si>
    <t>UX/UI</t>
  </si>
  <si>
    <t xml:space="preserve">Desarrollo </t>
  </si>
  <si>
    <t>Costos de Transacción - CC1</t>
  </si>
  <si>
    <t>Parámetros Notificaciones - CC1</t>
  </si>
  <si>
    <t>Comisiones P2M - CC1</t>
  </si>
  <si>
    <t>Dashboard Copi</t>
  </si>
  <si>
    <t>Dif Experto vs Estimados</t>
  </si>
  <si>
    <t>Muy Baja</t>
  </si>
  <si>
    <t>Media Baja</t>
  </si>
  <si>
    <t>Media Alta</t>
  </si>
  <si>
    <t>Muy Alta</t>
  </si>
  <si>
    <t>Power Builder</t>
  </si>
  <si>
    <t>Se considera:
   Tratar registros de una tabla
   Generación de un archivo (hasta un objeto)
   Cálculo sencillo (hasta dos objetos)</t>
  </si>
  <si>
    <t>Se considera:
   Relacionar registros hasta cuatro tablas
   Generación de archivos (hasta cuatro objetos)
   Cálculo sencillo (hasta cuatro objetos)
   Mantenimiento de tipo Cabecera únicamente, hasta 10 objetos
   Reportes sencillos (listados tabulares con formato standar)</t>
  </si>
  <si>
    <t>Se considera:
   Relacionar registros entre dos tablas
   Generación de archivos (hasta dos objetos)
   Cálculo sencillo (hasta dos objetos)
   Mantenimiento de tipo Cabecera únicamente, hasta 5 objetos
   Reportes sencillos (listados tabulares con formato simple)</t>
  </si>
  <si>
    <t xml:space="preserve">Se considera:
   Administración de objetos (incluye la impresión)
   Mantenimiento de tipo Cabecera/Detalle
   Generación de archivos (hasta seis objetos)
   Obtener información de otros sistemas
   Cálculo mediano (entre 5 y 6 objetos, mismo módulo)
   Reportes con formato simple y hasta un quiebre
   </t>
  </si>
  <si>
    <t xml:space="preserve">Se considera:
   Administración de objetos (incluye la impresión)
   Mantenimiento de tipo Cabecera/Detalle
   Generación de archivos (hasta seis objetos)
   Obtener información de otros sistemas
   Cálculo mediano (entre 6 y 7 objetos, mismo módulo)
   Reportes con formato simple y hasta dos quiebres
   </t>
  </si>
  <si>
    <t>Se considera:
   Mantenimiento de tipo Cabecera/Detalle/Detalle
   Cálculo mediano (entre 7 y 8 objetos, diferentes módulos)
   Reportes con formato elaborado y hasta tres quiebres</t>
  </si>
  <si>
    <t>*La estimación no incluye la etapa de evaluación.</t>
  </si>
  <si>
    <t>SECCIÓN DESARROLLO Y PRUEBAS UNITARIAS</t>
  </si>
  <si>
    <t>Nro.</t>
  </si>
  <si>
    <t>ACTIVIDAD</t>
  </si>
  <si>
    <t>HORAS</t>
  </si>
  <si>
    <t>Total</t>
  </si>
  <si>
    <t>Análisis Funcional y Técnico</t>
  </si>
  <si>
    <t xml:space="preserve">Testing </t>
  </si>
  <si>
    <t>Muy Compleja</t>
  </si>
  <si>
    <t>Extrema</t>
  </si>
  <si>
    <t>Extremo</t>
  </si>
  <si>
    <t>Evaluacion y Aseguramiento</t>
  </si>
  <si>
    <t>Esfuerzo</t>
  </si>
  <si>
    <t>Ajust. +/-</t>
  </si>
  <si>
    <t>Esfuerzo Ajustado</t>
  </si>
  <si>
    <t>Se considera:
   Mantenimiento principal que depende de otros
   Cálculo mixto (hasta 10 objetos)
   Reportes con cálculos elaborados, formato personalizado
   Interfaces con otro sistema (1)</t>
  </si>
  <si>
    <t>Se considera:
   Cálculo complejo (hasta 15 objetos)
   Reportes con cálculos complejos, formato personalizado
   Interfaces con otro sistema 
   Proceso que se deriva de cálculos precedentes en el sistema</t>
  </si>
  <si>
    <t xml:space="preserve">Se considera:
   Cálculo complejo (hasta 20 objetos)
   Reportes con cálculos complejos, formato elaborado y personalizado
   Interfaces con otros sistemas externos
   Proceso que se deriva de cálculos precedentes en el sistema
   Proceso que trabaja grandes volumenes de datos
   Proceso que implica como condición la ejecución de operaciones de otras opciones del sistema para llegar al requerimiento solicitado.
   </t>
  </si>
  <si>
    <t>Se considera:
   Cálculo complejo (hasta 25 objetos)
   Reportes con cálculos complejos, formato elaborado y personalizado
   Interfaces con otros sistemas externos 
   Proceso que trabaja grandes volumenes de datos
     Proceso que implica como condición la ejecución de operaciones de otras opciones del sistema para llegar al requerimiento solicitado.
   Uso de nueva tecnología
   Actualizaciones complejas a BD
   Testing complejo</t>
  </si>
  <si>
    <t xml:space="preserve">HU008: Proceso de Valorización Cartera esquema especial </t>
  </si>
  <si>
    <t>HU009: Confirmación del Proceso de Valorización</t>
  </si>
  <si>
    <t>HU010: Liquidación de operaciones</t>
  </si>
  <si>
    <t>HU013: Reporte Operaciones Vigentes - Adecuación</t>
  </si>
  <si>
    <t>HU014: Reporte de Vcto Anticipado Repo con Garantía - Adecuación</t>
  </si>
  <si>
    <t>HU011: Reporte Solicitud de Reembolso - Nuevo</t>
  </si>
  <si>
    <t>HU012: Reporte Resumen de Valorización - Adecuación</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</si>
</sst>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0"/>
      <name val="Arial"/>
    </font>
    <font>
      <sz val="11"/>
      <color theme="1"/>
      <name val="Calibri"/>
      <family val="2"/>
      <scheme val="minor"/>
    </font>
    <font>
      <sz val="11"/>
      <color theme="1"/>
      <name val="Calibri"/>
      <family val="2"/>
      <scheme val="minor"/>
    </font>
    <font>
      <sz val="10"/>
      <name val="Arial"/>
      <family val="2"/>
    </font>
    <font>
      <sz val="10"/>
      <name val="Libre Sans Serif SSi"/>
      <family val="2"/>
    </font>
    <font>
      <sz val="12"/>
      <name val="Libre Sans Serif SSi"/>
      <family val="2"/>
    </font>
    <font>
      <b/>
      <u/>
      <sz val="14"/>
      <name val="Libre Sans Serif SSi"/>
      <family val="2"/>
    </font>
    <font>
      <sz val="10"/>
      <name val="Libre Sans Serif SSi"/>
    </font>
    <font>
      <b/>
      <sz val="10"/>
      <name val="Arial"/>
      <family val="2"/>
    </font>
    <font>
      <sz val="10"/>
      <name val="Arial"/>
      <family val="2"/>
    </font>
    <font>
      <b/>
      <sz val="11"/>
      <name val="Calibri"/>
      <family val="2"/>
      <scheme val="minor"/>
    </font>
    <font>
      <b/>
      <sz val="10"/>
      <name val="Calibri"/>
      <family val="2"/>
      <scheme val="minor"/>
    </font>
    <font>
      <b/>
      <sz val="10"/>
      <color indexed="9"/>
      <name val="Calibri"/>
      <family val="2"/>
      <scheme val="minor"/>
    </font>
    <font>
      <b/>
      <sz val="10"/>
      <color theme="1"/>
      <name val="Calibri"/>
      <family val="2"/>
      <scheme val="minor"/>
    </font>
    <font>
      <b/>
      <sz val="10"/>
      <color theme="0"/>
      <name val="Calibri"/>
      <family val="2"/>
      <scheme val="minor"/>
    </font>
    <font>
      <sz val="9"/>
      <name val="Calibri"/>
      <family val="2"/>
      <scheme val="minor"/>
    </font>
    <font>
      <sz val="10"/>
      <name val="Calibri"/>
      <family val="2"/>
      <scheme val="minor"/>
    </font>
    <font>
      <b/>
      <sz val="10"/>
      <color theme="0"/>
      <name val="Libre Sans Serif SSi"/>
    </font>
    <font>
      <sz val="10"/>
      <name val="Calibri"/>
      <family val="2"/>
    </font>
    <font>
      <sz val="10"/>
      <color rgb="FFFF0000"/>
      <name val="Arial"/>
      <family val="2"/>
    </font>
    <font>
      <sz val="10"/>
      <color theme="1"/>
      <name val="Calibri"/>
      <family val="2"/>
      <scheme val="minor"/>
    </font>
    <font>
      <b/>
      <sz val="9"/>
      <color indexed="81"/>
      <name val="Tahoma"/>
      <family val="2"/>
    </font>
    <font>
      <sz val="9"/>
      <color indexed="81"/>
      <name val="Tahoma"/>
      <family val="2"/>
    </font>
    <font>
      <b/>
      <sz val="10"/>
      <color rgb="FFFF0000"/>
      <name val="Arial"/>
      <family val="2"/>
    </font>
    <font>
      <sz val="12"/>
      <color theme="1"/>
      <name val="Calibri"/>
      <family val="2"/>
    </font>
    <font>
      <sz val="12"/>
      <color theme="1"/>
      <name val="Times New Roman"/>
      <family val="1"/>
    </font>
    <font>
      <sz val="10"/>
      <name val="Formata Regular"/>
    </font>
    <font>
      <b/>
      <sz val="12"/>
      <color theme="0"/>
      <name val="Calibri"/>
      <family val="2"/>
    </font>
    <font>
      <b/>
      <sz val="8"/>
      <name val="Arial"/>
      <family val="2"/>
    </font>
    <font>
      <sz val="8"/>
      <name val="Arial"/>
      <family val="2"/>
    </font>
  </fonts>
  <fills count="21">
    <fill>
      <patternFill patternType="none"/>
    </fill>
    <fill>
      <patternFill patternType="gray125"/>
    </fill>
    <fill>
      <patternFill patternType="solid">
        <fgColor indexed="4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2060"/>
        <bgColor theme="4"/>
      </patternFill>
    </fill>
    <fill>
      <patternFill patternType="solid">
        <fgColor rgb="FF002060"/>
        <bgColor indexed="64"/>
      </patternFill>
    </fill>
  </fills>
  <borders count="32">
    <border>
      <left/>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0"/>
      </bottom>
      <diagonal/>
    </border>
  </borders>
  <cellStyleXfs count="7">
    <xf numFmtId="0" fontId="0" fillId="0" borderId="0"/>
    <xf numFmtId="0" fontId="7" fillId="0" borderId="0"/>
    <xf numFmtId="9" fontId="3" fillId="0" borderId="0" applyFont="0" applyFill="0" applyBorder="0" applyAlignment="0" applyProtection="0"/>
    <xf numFmtId="0" fontId="2" fillId="0" borderId="0"/>
    <xf numFmtId="0" fontId="1" fillId="0" borderId="0"/>
    <xf numFmtId="0" fontId="26" fillId="0" borderId="0"/>
    <xf numFmtId="0" fontId="26" fillId="0" borderId="0"/>
  </cellStyleXfs>
  <cellXfs count="167">
    <xf numFmtId="0" fontId="0" fillId="0" borderId="0" xfId="0"/>
    <xf numFmtId="0" fontId="4" fillId="0" borderId="0" xfId="0" applyFont="1"/>
    <xf numFmtId="0" fontId="5" fillId="0" borderId="0" xfId="0" applyFont="1"/>
    <xf numFmtId="0" fontId="6" fillId="0" borderId="0" xfId="0" applyFont="1"/>
    <xf numFmtId="0" fontId="7" fillId="0" borderId="0" xfId="1"/>
    <xf numFmtId="0" fontId="9" fillId="0" borderId="0" xfId="0" applyFont="1"/>
    <xf numFmtId="0" fontId="12" fillId="4"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0" fillId="0" borderId="9" xfId="0" applyBorder="1"/>
    <xf numFmtId="0" fontId="16" fillId="2" borderId="5" xfId="0" applyFont="1" applyFill="1" applyBorder="1" applyAlignment="1">
      <alignment horizontal="center" vertical="center"/>
    </xf>
    <xf numFmtId="0" fontId="12" fillId="4"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10" borderId="9" xfId="0" applyFont="1" applyFill="1" applyBorder="1" applyAlignment="1">
      <alignment horizontal="center" vertical="center"/>
    </xf>
    <xf numFmtId="0" fontId="11" fillId="10" borderId="9"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0" fillId="0" borderId="9" xfId="0" applyBorder="1" applyAlignment="1">
      <alignment horizontal="center" vertical="center"/>
    </xf>
    <xf numFmtId="0" fontId="8" fillId="10" borderId="9" xfId="0" applyFont="1" applyFill="1" applyBorder="1" applyAlignment="1">
      <alignment horizontal="center" vertical="center"/>
    </xf>
    <xf numFmtId="0" fontId="9" fillId="0" borderId="9" xfId="0" applyFont="1" applyBorder="1"/>
    <xf numFmtId="0" fontId="11" fillId="3" borderId="4" xfId="0" applyFont="1" applyFill="1" applyBorder="1" applyAlignment="1">
      <alignment horizontal="center" vertical="center"/>
    </xf>
    <xf numFmtId="0" fontId="13" fillId="8" borderId="4" xfId="0" applyFont="1" applyFill="1" applyBorder="1" applyAlignment="1">
      <alignment horizontal="center" vertical="center"/>
    </xf>
    <xf numFmtId="0" fontId="11" fillId="9" borderId="4" xfId="0" applyFont="1" applyFill="1" applyBorder="1" applyAlignment="1">
      <alignment horizontal="center" vertical="center"/>
    </xf>
    <xf numFmtId="0" fontId="12" fillId="11" borderId="8" xfId="0" applyFont="1" applyFill="1" applyBorder="1" applyAlignment="1">
      <alignment vertical="center"/>
    </xf>
    <xf numFmtId="0" fontId="12" fillId="11" borderId="10" xfId="0" applyFont="1" applyFill="1" applyBorder="1" applyAlignment="1">
      <alignment vertical="center"/>
    </xf>
    <xf numFmtId="0" fontId="16" fillId="2" borderId="15" xfId="0" applyFont="1" applyFill="1" applyBorder="1" applyAlignment="1">
      <alignment horizontal="left" vertical="center"/>
    </xf>
    <xf numFmtId="0" fontId="0" fillId="12" borderId="9" xfId="0" applyFill="1" applyBorder="1" applyAlignment="1">
      <alignment horizontal="center" vertical="center"/>
    </xf>
    <xf numFmtId="0" fontId="0" fillId="12" borderId="9" xfId="0" applyFill="1" applyBorder="1" applyAlignment="1">
      <alignment horizontal="center"/>
    </xf>
    <xf numFmtId="0" fontId="12" fillId="4" borderId="5" xfId="0" applyFont="1" applyFill="1" applyBorder="1" applyAlignment="1">
      <alignment horizontal="center" vertical="center" wrapText="1"/>
    </xf>
    <xf numFmtId="0" fontId="16" fillId="7" borderId="3" xfId="0" applyFont="1" applyFill="1" applyBorder="1" applyAlignment="1">
      <alignment horizontal="center" vertical="center"/>
    </xf>
    <xf numFmtId="0" fontId="8" fillId="7" borderId="9" xfId="0" applyFont="1" applyFill="1" applyBorder="1"/>
    <xf numFmtId="0" fontId="8" fillId="7" borderId="9" xfId="0" applyFont="1" applyFill="1" applyBorder="1" applyAlignment="1">
      <alignment horizontal="center"/>
    </xf>
    <xf numFmtId="0" fontId="8" fillId="7" borderId="9" xfId="0" applyFont="1" applyFill="1" applyBorder="1" applyAlignment="1">
      <alignment horizontal="center" vertical="center"/>
    </xf>
    <xf numFmtId="10" fontId="0" fillId="0" borderId="0" xfId="2" applyNumberFormat="1" applyFont="1" applyAlignment="1">
      <alignment horizontal="center" vertical="center"/>
    </xf>
    <xf numFmtId="0" fontId="9" fillId="0" borderId="9" xfId="0" applyFont="1" applyFill="1" applyBorder="1"/>
    <xf numFmtId="0" fontId="0" fillId="0" borderId="9" xfId="0" applyFill="1" applyBorder="1" applyAlignment="1">
      <alignment horizontal="center" vertical="center"/>
    </xf>
    <xf numFmtId="0" fontId="9" fillId="0" borderId="9" xfId="0" applyFont="1" applyBorder="1" applyAlignment="1">
      <alignment horizontal="center"/>
    </xf>
    <xf numFmtId="0" fontId="0" fillId="13" borderId="9" xfId="0" applyFill="1" applyBorder="1" applyAlignment="1">
      <alignment horizontal="center"/>
    </xf>
    <xf numFmtId="0" fontId="8" fillId="13" borderId="9" xfId="0" applyFont="1" applyFill="1" applyBorder="1" applyAlignment="1">
      <alignment horizontal="center"/>
    </xf>
    <xf numFmtId="0" fontId="11" fillId="7" borderId="21" xfId="0" applyFont="1" applyFill="1" applyBorder="1" applyAlignment="1">
      <alignment horizontal="center" vertical="center"/>
    </xf>
    <xf numFmtId="0" fontId="11" fillId="7" borderId="11" xfId="0" applyFont="1" applyFill="1" applyBorder="1" applyAlignment="1">
      <alignment horizontal="center" vertical="center"/>
    </xf>
    <xf numFmtId="0" fontId="3" fillId="0" borderId="0" xfId="0" applyFont="1"/>
    <xf numFmtId="0" fontId="3" fillId="0" borderId="0" xfId="0" applyFont="1" applyFill="1" applyBorder="1"/>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8" fillId="15" borderId="9" xfId="0" applyFont="1" applyFill="1" applyBorder="1" applyAlignment="1">
      <alignment horizontal="center" vertical="center"/>
    </xf>
    <xf numFmtId="0" fontId="0" fillId="0" borderId="9" xfId="0" applyBorder="1" applyAlignment="1">
      <alignment horizontal="center"/>
    </xf>
    <xf numFmtId="0" fontId="18" fillId="12" borderId="9" xfId="0" applyFont="1" applyFill="1" applyBorder="1" applyAlignment="1">
      <alignment horizontal="center" vertical="center"/>
    </xf>
    <xf numFmtId="0" fontId="16" fillId="16" borderId="5" xfId="0" applyFont="1" applyFill="1" applyBorder="1" applyAlignment="1">
      <alignment horizontal="center" vertical="center"/>
    </xf>
    <xf numFmtId="0" fontId="16" fillId="0" borderId="5" xfId="0" applyFont="1" applyFill="1" applyBorder="1" applyAlignment="1">
      <alignment horizontal="center" vertical="center"/>
    </xf>
    <xf numFmtId="0" fontId="16" fillId="0" borderId="9" xfId="0" applyFont="1" applyFill="1" applyBorder="1" applyAlignment="1">
      <alignment horizontal="center" vertical="center"/>
    </xf>
    <xf numFmtId="0" fontId="11" fillId="0" borderId="4" xfId="0" applyFont="1" applyFill="1" applyBorder="1" applyAlignment="1">
      <alignment horizontal="center" vertical="center"/>
    </xf>
    <xf numFmtId="0" fontId="11" fillId="15" borderId="21" xfId="0" applyFont="1" applyFill="1" applyBorder="1" applyAlignment="1">
      <alignment horizontal="center" vertical="center" wrapText="1"/>
    </xf>
    <xf numFmtId="0" fontId="12" fillId="11" borderId="25" xfId="0" applyFont="1" applyFill="1" applyBorder="1" applyAlignment="1">
      <alignment horizontal="center" vertical="center"/>
    </xf>
    <xf numFmtId="0" fontId="12" fillId="11" borderId="0" xfId="0" applyFont="1" applyFill="1" applyBorder="1" applyAlignment="1">
      <alignment horizontal="center" vertical="center"/>
    </xf>
    <xf numFmtId="0" fontId="12" fillId="11" borderId="25" xfId="0" applyFont="1" applyFill="1" applyBorder="1" applyAlignment="1">
      <alignment vertical="center"/>
    </xf>
    <xf numFmtId="0" fontId="12" fillId="11" borderId="26" xfId="0" applyFont="1" applyFill="1" applyBorder="1" applyAlignment="1">
      <alignment vertical="center"/>
    </xf>
    <xf numFmtId="0" fontId="11" fillId="15" borderId="27" xfId="0" applyFont="1" applyFill="1" applyBorder="1" applyAlignment="1">
      <alignment horizontal="center" vertical="center" wrapText="1"/>
    </xf>
    <xf numFmtId="9" fontId="4" fillId="0" borderId="0" xfId="0" applyNumberFormat="1" applyFont="1"/>
    <xf numFmtId="9" fontId="0" fillId="0" borderId="0" xfId="0" applyNumberFormat="1"/>
    <xf numFmtId="9" fontId="11" fillId="10" borderId="5" xfId="0" applyNumberFormat="1" applyFont="1" applyFill="1" applyBorder="1" applyAlignment="1">
      <alignment horizontal="center" vertical="center"/>
    </xf>
    <xf numFmtId="9" fontId="11" fillId="10" borderId="9" xfId="0" applyNumberFormat="1" applyFont="1" applyFill="1" applyBorder="1" applyAlignment="1">
      <alignment horizontal="center" vertical="center"/>
    </xf>
    <xf numFmtId="9" fontId="11" fillId="10" borderId="9" xfId="0" applyNumberFormat="1" applyFont="1" applyFill="1" applyBorder="1" applyAlignment="1">
      <alignment horizontal="center" vertical="center" wrapText="1"/>
    </xf>
    <xf numFmtId="0" fontId="11" fillId="10" borderId="29" xfId="0" applyFont="1" applyFill="1" applyBorder="1" applyAlignment="1">
      <alignment horizontal="center" vertical="center"/>
    </xf>
    <xf numFmtId="9" fontId="11" fillId="10" borderId="29" xfId="0" applyNumberFormat="1" applyFont="1" applyFill="1" applyBorder="1" applyAlignment="1">
      <alignment horizontal="center" vertical="center"/>
    </xf>
    <xf numFmtId="9" fontId="12" fillId="4" borderId="5" xfId="0" applyNumberFormat="1" applyFont="1" applyFill="1" applyBorder="1" applyAlignment="1">
      <alignment horizontal="center" vertical="center" wrapText="1"/>
    </xf>
    <xf numFmtId="9" fontId="12" fillId="4" borderId="9" xfId="0" applyNumberFormat="1" applyFont="1" applyFill="1" applyBorder="1" applyAlignment="1">
      <alignment horizontal="center" vertical="center" wrapText="1"/>
    </xf>
    <xf numFmtId="9" fontId="12" fillId="4" borderId="3" xfId="0" applyNumberFormat="1" applyFont="1" applyFill="1" applyBorder="1" applyAlignment="1">
      <alignment horizontal="center" vertical="center" wrapText="1"/>
    </xf>
    <xf numFmtId="2" fontId="16" fillId="0" borderId="9" xfId="0" applyNumberFormat="1" applyFont="1" applyFill="1" applyBorder="1" applyAlignment="1">
      <alignment horizontal="center" vertical="center"/>
    </xf>
    <xf numFmtId="0" fontId="16" fillId="17" borderId="5" xfId="0" applyFont="1" applyFill="1" applyBorder="1" applyAlignment="1">
      <alignment horizontal="center" vertical="center"/>
    </xf>
    <xf numFmtId="9" fontId="12" fillId="5" borderId="5" xfId="0" applyNumberFormat="1" applyFont="1" applyFill="1" applyBorder="1" applyAlignment="1">
      <alignment horizontal="center" vertical="center" wrapText="1"/>
    </xf>
    <xf numFmtId="9" fontId="12" fillId="5" borderId="9" xfId="0" applyNumberFormat="1" applyFont="1" applyFill="1" applyBorder="1" applyAlignment="1">
      <alignment horizontal="center" vertical="center" wrapText="1"/>
    </xf>
    <xf numFmtId="9" fontId="13" fillId="6" borderId="5" xfId="0" applyNumberFormat="1" applyFont="1" applyFill="1" applyBorder="1" applyAlignment="1">
      <alignment horizontal="center" vertical="center" wrapText="1"/>
    </xf>
    <xf numFmtId="9" fontId="13" fillId="6" borderId="9" xfId="0" applyNumberFormat="1" applyFont="1" applyFill="1" applyBorder="1" applyAlignment="1">
      <alignment horizontal="center" vertical="center" wrapText="1"/>
    </xf>
    <xf numFmtId="2" fontId="16" fillId="0" borderId="5" xfId="0" applyNumberFormat="1" applyFont="1" applyFill="1" applyBorder="1" applyAlignment="1">
      <alignment horizontal="center" vertical="center"/>
    </xf>
    <xf numFmtId="0" fontId="20" fillId="0" borderId="9" xfId="3" applyFont="1" applyBorder="1"/>
    <xf numFmtId="0" fontId="20" fillId="0" borderId="9" xfId="3" applyFont="1" applyBorder="1" applyAlignment="1">
      <alignment horizontal="left"/>
    </xf>
    <xf numFmtId="0" fontId="20" fillId="0" borderId="9" xfId="3" applyFont="1" applyBorder="1" applyAlignment="1">
      <alignment horizontal="left" indent="1"/>
    </xf>
    <xf numFmtId="0" fontId="18" fillId="18" borderId="9" xfId="0" applyFont="1" applyFill="1" applyBorder="1" applyAlignment="1">
      <alignment horizontal="center" vertical="center"/>
    </xf>
    <xf numFmtId="0" fontId="8" fillId="18" borderId="9" xfId="0" applyFont="1" applyFill="1" applyBorder="1" applyAlignment="1">
      <alignment horizontal="center" vertical="center"/>
    </xf>
    <xf numFmtId="0" fontId="23" fillId="0" borderId="9" xfId="0" applyFont="1" applyBorder="1" applyAlignment="1">
      <alignment horizontal="center" vertical="center"/>
    </xf>
    <xf numFmtId="0" fontId="3" fillId="0" borderId="9" xfId="0" applyFont="1" applyBorder="1"/>
    <xf numFmtId="0" fontId="11" fillId="2" borderId="5" xfId="0" applyFont="1" applyFill="1" applyBorder="1" applyAlignment="1">
      <alignment horizontal="center" vertical="center"/>
    </xf>
    <xf numFmtId="0" fontId="11" fillId="2" borderId="15" xfId="0" applyFont="1" applyFill="1" applyBorder="1" applyAlignment="1">
      <alignment horizontal="left" vertical="center"/>
    </xf>
    <xf numFmtId="0" fontId="24" fillId="0" borderId="0" xfId="4" applyFont="1" applyFill="1" applyBorder="1" applyAlignment="1">
      <alignment vertical="center"/>
    </xf>
    <xf numFmtId="0" fontId="24" fillId="0" borderId="0" xfId="4" applyFont="1" applyFill="1" applyBorder="1" applyAlignment="1">
      <alignment horizontal="center" vertical="center"/>
    </xf>
    <xf numFmtId="0" fontId="27" fillId="20" borderId="9" xfId="4" applyFont="1" applyFill="1" applyBorder="1" applyAlignment="1">
      <alignment horizontal="center" vertical="center"/>
    </xf>
    <xf numFmtId="0" fontId="24" fillId="20" borderId="9" xfId="4" applyFont="1" applyFill="1" applyBorder="1" applyAlignment="1">
      <alignment vertical="center"/>
    </xf>
    <xf numFmtId="4" fontId="25" fillId="0" borderId="0" xfId="4" applyNumberFormat="1" applyFont="1" applyFill="1" applyBorder="1" applyAlignment="1">
      <alignment horizontal="center" vertical="center"/>
    </xf>
    <xf numFmtId="4" fontId="24" fillId="0" borderId="0" xfId="4" applyNumberFormat="1" applyFont="1" applyFill="1" applyBorder="1" applyAlignment="1">
      <alignment horizontal="center" vertical="center"/>
    </xf>
    <xf numFmtId="4" fontId="27" fillId="20" borderId="9" xfId="4" applyNumberFormat="1" applyFont="1" applyFill="1" applyBorder="1" applyAlignment="1">
      <alignment horizontal="center" vertical="center"/>
    </xf>
    <xf numFmtId="0" fontId="27" fillId="20" borderId="0" xfId="4" applyFont="1" applyFill="1" applyBorder="1" applyAlignment="1">
      <alignment horizontal="center" vertical="center"/>
    </xf>
    <xf numFmtId="0" fontId="11" fillId="17" borderId="5" xfId="0" applyFont="1" applyFill="1" applyBorder="1" applyAlignment="1">
      <alignment horizontal="center" vertical="center"/>
    </xf>
    <xf numFmtId="9" fontId="0" fillId="0" borderId="0" xfId="2" applyFont="1"/>
    <xf numFmtId="0" fontId="8" fillId="3" borderId="9" xfId="0" applyFont="1" applyFill="1" applyBorder="1" applyAlignment="1">
      <alignment horizontal="center" vertical="center" wrapText="1"/>
    </xf>
    <xf numFmtId="9" fontId="8" fillId="0" borderId="0" xfId="2" applyFont="1"/>
    <xf numFmtId="9" fontId="19" fillId="0" borderId="0" xfId="2" applyFont="1"/>
    <xf numFmtId="4" fontId="0" fillId="0" borderId="0" xfId="0" applyNumberFormat="1"/>
    <xf numFmtId="3" fontId="28" fillId="0" borderId="9" xfId="0" applyNumberFormat="1" applyFont="1" applyFill="1" applyBorder="1" applyAlignment="1" applyProtection="1">
      <protection locked="0"/>
    </xf>
    <xf numFmtId="3" fontId="29" fillId="0" borderId="9" xfId="0" applyNumberFormat="1" applyFont="1" applyFill="1" applyBorder="1" applyAlignment="1" applyProtection="1">
      <protection locked="0"/>
    </xf>
    <xf numFmtId="0" fontId="8" fillId="3" borderId="9" xfId="0" applyFont="1" applyFill="1" applyBorder="1" applyAlignment="1">
      <alignment vertical="center" wrapText="1"/>
    </xf>
    <xf numFmtId="0" fontId="0" fillId="0" borderId="9" xfId="0" applyFill="1" applyBorder="1" applyAlignment="1">
      <alignment horizontal="center"/>
    </xf>
    <xf numFmtId="0" fontId="8" fillId="14" borderId="9" xfId="0" applyFont="1" applyFill="1" applyBorder="1" applyAlignment="1">
      <alignment horizontal="center" vertical="center" wrapText="1"/>
    </xf>
    <xf numFmtId="0" fontId="23" fillId="0" borderId="23" xfId="0" applyFont="1" applyBorder="1" applyAlignment="1">
      <alignment horizontal="center" vertical="center"/>
    </xf>
    <xf numFmtId="0" fontId="23" fillId="0" borderId="30" xfId="0" applyFont="1" applyBorder="1" applyAlignment="1">
      <alignment horizontal="center" vertical="center"/>
    </xf>
    <xf numFmtId="0" fontId="23" fillId="0" borderId="24" xfId="0" applyFont="1" applyBorder="1" applyAlignment="1">
      <alignment horizontal="center" vertical="center"/>
    </xf>
    <xf numFmtId="0" fontId="3" fillId="0" borderId="23" xfId="0" applyFont="1" applyBorder="1" applyAlignment="1">
      <alignment horizontal="center" vertical="center"/>
    </xf>
    <xf numFmtId="0" fontId="3" fillId="0" borderId="30" xfId="0" applyFont="1" applyBorder="1" applyAlignment="1">
      <alignment horizontal="center" vertical="center"/>
    </xf>
    <xf numFmtId="0" fontId="3" fillId="0" borderId="24" xfId="0" applyFont="1" applyBorder="1" applyAlignment="1">
      <alignment horizontal="center" vertical="center"/>
    </xf>
    <xf numFmtId="0" fontId="3" fillId="0" borderId="23"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4" xfId="0" applyFont="1" applyBorder="1" applyAlignment="1">
      <alignment horizontal="center" vertical="center" wrapText="1"/>
    </xf>
    <xf numFmtId="0" fontId="0" fillId="0" borderId="23" xfId="0" applyBorder="1" applyAlignment="1">
      <alignment horizontal="center" vertical="center" wrapText="1"/>
    </xf>
    <xf numFmtId="0" fontId="0" fillId="0" borderId="30"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0" borderId="30" xfId="0"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xf>
    <xf numFmtId="0" fontId="0" fillId="0" borderId="30" xfId="0" applyBorder="1" applyAlignment="1">
      <alignment horizontal="center"/>
    </xf>
    <xf numFmtId="0" fontId="0" fillId="0" borderId="24" xfId="0" applyBorder="1" applyAlignment="1">
      <alignment horizontal="center"/>
    </xf>
    <xf numFmtId="0" fontId="8"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10" borderId="9" xfId="0" applyFont="1" applyFill="1" applyBorder="1" applyAlignment="1">
      <alignment horizontal="center" vertical="center"/>
    </xf>
    <xf numFmtId="0" fontId="8" fillId="10" borderId="23"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0" fontId="11" fillId="15" borderId="20" xfId="0" applyFont="1" applyFill="1" applyBorder="1" applyAlignment="1">
      <alignment horizontal="center" vertical="center" wrapText="1"/>
    </xf>
    <xf numFmtId="0" fontId="11" fillId="15" borderId="21" xfId="0" applyFont="1" applyFill="1" applyBorder="1" applyAlignment="1">
      <alignment horizontal="center" vertical="center" wrapText="1"/>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0" fontId="17" fillId="11" borderId="12" xfId="0" applyFont="1" applyFill="1" applyBorder="1" applyAlignment="1">
      <alignment horizontal="center" vertical="center"/>
    </xf>
    <xf numFmtId="0" fontId="17" fillId="11" borderId="13" xfId="0" applyFont="1" applyFill="1" applyBorder="1" applyAlignment="1">
      <alignment horizontal="center" vertical="center"/>
    </xf>
    <xf numFmtId="0" fontId="12" fillId="11" borderId="8" xfId="0" applyFont="1" applyFill="1" applyBorder="1" applyAlignment="1">
      <alignment horizontal="center" vertical="center"/>
    </xf>
    <xf numFmtId="0" fontId="12" fillId="11" borderId="14" xfId="0" applyFont="1" applyFill="1" applyBorder="1" applyAlignment="1">
      <alignment horizontal="center" vertical="center"/>
    </xf>
    <xf numFmtId="0" fontId="12" fillId="11" borderId="16" xfId="0" applyFont="1" applyFill="1" applyBorder="1" applyAlignment="1">
      <alignment horizontal="center" vertical="center"/>
    </xf>
    <xf numFmtId="0" fontId="12" fillId="11" borderId="1" xfId="0" applyFont="1" applyFill="1" applyBorder="1" applyAlignment="1">
      <alignment horizontal="center" vertical="center"/>
    </xf>
    <xf numFmtId="0" fontId="11" fillId="15" borderId="6" xfId="0" applyFont="1" applyFill="1" applyBorder="1" applyAlignment="1">
      <alignment horizontal="center" vertical="center" wrapText="1"/>
    </xf>
    <xf numFmtId="0" fontId="11" fillId="15" borderId="7" xfId="0" applyFont="1" applyFill="1" applyBorder="1" applyAlignment="1">
      <alignment horizontal="center" vertical="center" wrapText="1"/>
    </xf>
    <xf numFmtId="0" fontId="10" fillId="10" borderId="17" xfId="0" applyFont="1" applyFill="1" applyBorder="1" applyAlignment="1">
      <alignment horizontal="center" vertical="center" wrapText="1"/>
    </xf>
    <xf numFmtId="0" fontId="10" fillId="10" borderId="28" xfId="0" applyFont="1" applyFill="1" applyBorder="1" applyAlignment="1">
      <alignment horizontal="center" vertical="center" wrapText="1"/>
    </xf>
    <xf numFmtId="0" fontId="10" fillId="10" borderId="18"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14" fillId="4" borderId="17" xfId="0" applyFont="1" applyFill="1" applyBorder="1" applyAlignment="1">
      <alignment horizontal="center" vertical="center"/>
    </xf>
    <xf numFmtId="0" fontId="14" fillId="4" borderId="18" xfId="0" applyFont="1" applyFill="1" applyBorder="1" applyAlignment="1">
      <alignment horizontal="center" vertical="center"/>
    </xf>
    <xf numFmtId="0" fontId="14" fillId="4" borderId="22" xfId="0" applyFont="1" applyFill="1" applyBorder="1" applyAlignment="1">
      <alignment horizontal="center" vertical="center"/>
    </xf>
    <xf numFmtId="0" fontId="14" fillId="4" borderId="19" xfId="0" applyFont="1" applyFill="1" applyBorder="1" applyAlignment="1">
      <alignment horizontal="center" vertical="center"/>
    </xf>
    <xf numFmtId="0" fontId="8" fillId="13" borderId="9" xfId="0" applyFont="1" applyFill="1" applyBorder="1" applyAlignment="1">
      <alignment horizontal="center"/>
    </xf>
    <xf numFmtId="0" fontId="15" fillId="0" borderId="11" xfId="0" applyFont="1" applyBorder="1" applyAlignment="1">
      <alignment horizontal="left" vertical="top" wrapText="1"/>
    </xf>
    <xf numFmtId="0" fontId="15" fillId="0" borderId="2" xfId="0" applyFont="1" applyBorder="1" applyAlignment="1">
      <alignment horizontal="left" vertical="top" wrapText="1"/>
    </xf>
    <xf numFmtId="0" fontId="27" fillId="19" borderId="31" xfId="4" applyFont="1" applyFill="1" applyBorder="1" applyAlignment="1">
      <alignment horizontal="center" vertical="center"/>
    </xf>
    <xf numFmtId="0" fontId="0" fillId="0" borderId="0" xfId="0" applyFill="1"/>
    <xf numFmtId="4" fontId="8" fillId="0" borderId="0" xfId="0" applyNumberFormat="1" applyFont="1" applyFill="1"/>
    <xf numFmtId="0" fontId="3" fillId="0" borderId="9" xfId="0" applyFont="1" applyBorder="1" applyAlignment="1">
      <alignment horizontal="center" vertical="center"/>
    </xf>
    <xf numFmtId="0" fontId="3" fillId="12" borderId="9" xfId="0" applyFont="1" applyFill="1" applyBorder="1" applyAlignment="1">
      <alignment horizontal="center" vertical="center"/>
    </xf>
    <xf numFmtId="0" fontId="3" fillId="12" borderId="9" xfId="0" applyFont="1" applyFill="1" applyBorder="1" applyAlignment="1">
      <alignment horizontal="center"/>
    </xf>
    <xf numFmtId="0" fontId="3" fillId="0" borderId="9" xfId="0" applyFont="1" applyFill="1" applyBorder="1" applyAlignment="1">
      <alignment horizontal="center"/>
    </xf>
  </cellXfs>
  <cellStyles count="7">
    <cellStyle name="Normal" xfId="0" builtinId="0"/>
    <cellStyle name="Normal 2" xfId="5"/>
    <cellStyle name="Normal 2 2" xfId="6"/>
    <cellStyle name="Normal 3" xfId="4"/>
    <cellStyle name="Normal 6" xfId="3"/>
    <cellStyle name="Normal_Tabla Estimaciones" xfId="1"/>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X56"/>
  <sheetViews>
    <sheetView showGridLines="0" topLeftCell="C1" zoomScaleNormal="100" workbookViewId="0">
      <selection activeCell="D15" sqref="D15"/>
    </sheetView>
  </sheetViews>
  <sheetFormatPr baseColWidth="10" defaultRowHeight="12.75"/>
  <cols>
    <col min="1" max="1" width="8.5703125" customWidth="1"/>
    <col min="2" max="2" width="23.28515625" customWidth="1"/>
    <col min="3" max="3" width="10.85546875" customWidth="1"/>
    <col min="4" max="4" width="50.5703125" customWidth="1"/>
    <col min="6" max="6" width="14" customWidth="1"/>
    <col min="8" max="8" width="8.7109375" bestFit="1" customWidth="1"/>
    <col min="9" max="9" width="8.85546875" bestFit="1" customWidth="1"/>
    <col min="11" max="11" width="8.7109375" bestFit="1" customWidth="1"/>
    <col min="12" max="12" width="8.85546875" bestFit="1" customWidth="1"/>
    <col min="14" max="14" width="8.7109375" bestFit="1" customWidth="1"/>
    <col min="15" max="16" width="8.85546875" bestFit="1" customWidth="1"/>
    <col min="18" max="18" width="9.85546875" customWidth="1"/>
    <col min="19" max="21" width="0" hidden="1" customWidth="1"/>
    <col min="22" max="22" width="3.140625" hidden="1" customWidth="1"/>
    <col min="23" max="23" width="2.28515625" hidden="1" customWidth="1"/>
  </cols>
  <sheetData>
    <row r="1" spans="2:24">
      <c r="B1" s="44" t="s">
        <v>76</v>
      </c>
    </row>
    <row r="2" spans="2:24" ht="25.5" customHeight="1">
      <c r="B2" s="129" t="s">
        <v>5</v>
      </c>
      <c r="C2" s="130" t="s">
        <v>57</v>
      </c>
      <c r="D2" s="129" t="s">
        <v>28</v>
      </c>
      <c r="E2" s="129" t="s">
        <v>0</v>
      </c>
      <c r="F2" s="129"/>
      <c r="G2" s="132" t="s">
        <v>29</v>
      </c>
      <c r="H2" s="125" t="s">
        <v>31</v>
      </c>
      <c r="I2" s="126"/>
      <c r="J2" s="127"/>
      <c r="K2" s="125" t="s">
        <v>16</v>
      </c>
      <c r="L2" s="126"/>
      <c r="M2" s="127"/>
      <c r="N2" s="125" t="s">
        <v>18</v>
      </c>
      <c r="O2" s="126"/>
      <c r="P2" s="127"/>
      <c r="Q2" s="128" t="s">
        <v>23</v>
      </c>
      <c r="S2" s="106" t="s">
        <v>54</v>
      </c>
      <c r="T2" s="106" t="s">
        <v>55</v>
      </c>
      <c r="U2" s="106" t="s">
        <v>43</v>
      </c>
      <c r="W2" s="106" t="s">
        <v>64</v>
      </c>
    </row>
    <row r="3" spans="2:24" ht="25.5">
      <c r="B3" s="129"/>
      <c r="C3" s="131"/>
      <c r="D3" s="129"/>
      <c r="E3" s="21" t="s">
        <v>30</v>
      </c>
      <c r="F3" s="21" t="s">
        <v>28</v>
      </c>
      <c r="G3" s="132"/>
      <c r="H3" s="104" t="s">
        <v>88</v>
      </c>
      <c r="I3" s="98" t="s">
        <v>89</v>
      </c>
      <c r="J3" s="98" t="s">
        <v>90</v>
      </c>
      <c r="K3" s="104" t="s">
        <v>88</v>
      </c>
      <c r="L3" s="98" t="s">
        <v>89</v>
      </c>
      <c r="M3" s="98" t="s">
        <v>90</v>
      </c>
      <c r="N3" s="104" t="s">
        <v>88</v>
      </c>
      <c r="O3" s="98" t="s">
        <v>89</v>
      </c>
      <c r="P3" s="98" t="s">
        <v>90</v>
      </c>
      <c r="Q3" s="128"/>
      <c r="S3" s="106"/>
      <c r="T3" s="106"/>
      <c r="U3" s="106"/>
      <c r="W3" s="106"/>
      <c r="X3" s="45"/>
    </row>
    <row r="4" spans="2:24" s="44" customFormat="1" ht="12.75" customHeight="1">
      <c r="B4" s="114"/>
      <c r="C4" s="163">
        <v>1</v>
      </c>
      <c r="D4" s="103" t="s">
        <v>95</v>
      </c>
      <c r="E4" s="163">
        <v>3</v>
      </c>
      <c r="F4" s="51" t="str">
        <f>VLOOKUP(E4,Parámetros!$B$13:$C$23,2,FALSE)</f>
        <v>Media Baja</v>
      </c>
      <c r="G4" s="164">
        <f t="shared" ref="G4:G53" si="0">J4+M4+P4+Q4</f>
        <v>23.279999999999998</v>
      </c>
      <c r="H4" s="165">
        <f>IF(E4=0,0,VLOOKUP(E4,Tabla!$C$6:$F$15,4,FALSE))</f>
        <v>2.48</v>
      </c>
      <c r="I4" s="166"/>
      <c r="J4" s="165">
        <f t="shared" ref="J4:J53" si="1">H4+I4</f>
        <v>2.48</v>
      </c>
      <c r="K4" s="165">
        <f>IF(E4=0,0,VLOOKUP(E4,Tabla!$C$6:$G$15,5,FALSE))</f>
        <v>12.4</v>
      </c>
      <c r="L4" s="166">
        <v>2</v>
      </c>
      <c r="M4" s="165">
        <f t="shared" ref="M4:M18" si="2">K4+L4</f>
        <v>14.4</v>
      </c>
      <c r="N4" s="165">
        <f>IF(E4=0,0,VLOOKUP(E4,Tabla!$C$6:$H$15,6,FALSE))</f>
        <v>5</v>
      </c>
      <c r="O4" s="166"/>
      <c r="P4" s="165">
        <f t="shared" ref="P4:P18" si="3">N4+O4</f>
        <v>5</v>
      </c>
      <c r="Q4" s="165">
        <f>IF(E4=0,0,VLOOKUP(E4,Tabla!$C$6:$I$15,7,FALSE))</f>
        <v>1.4</v>
      </c>
      <c r="R4" s="44">
        <f t="shared" ref="R4:R9" si="4">M4+P4+Q4</f>
        <v>20.799999999999997</v>
      </c>
      <c r="S4" s="120"/>
      <c r="T4" s="120"/>
      <c r="U4" s="120"/>
      <c r="W4" s="108"/>
    </row>
    <row r="5" spans="2:24" s="44" customFormat="1" ht="12.75" customHeight="1">
      <c r="B5" s="114"/>
      <c r="C5" s="163">
        <f t="shared" ref="C5:C54" si="5">C4+1</f>
        <v>2</v>
      </c>
      <c r="D5" s="103" t="s">
        <v>96</v>
      </c>
      <c r="E5" s="163">
        <v>1</v>
      </c>
      <c r="F5" s="51" t="str">
        <f>VLOOKUP(E5,Parámetros!$B$13:$C$23,2,FALSE)</f>
        <v>Muy Baja</v>
      </c>
      <c r="G5" s="164">
        <f t="shared" si="0"/>
        <v>10.64</v>
      </c>
      <c r="H5" s="165">
        <f>IF(E5=0,0,VLOOKUP(E5,Tabla!$C$6:$F$15,4,FALSE))</f>
        <v>1.24</v>
      </c>
      <c r="I5" s="166"/>
      <c r="J5" s="165">
        <f t="shared" si="1"/>
        <v>1.24</v>
      </c>
      <c r="K5" s="165">
        <f>IF(E5=0,0,VLOOKUP(E5,Tabla!$C$6:$G$15,5,FALSE))</f>
        <v>6.2</v>
      </c>
      <c r="L5" s="166"/>
      <c r="M5" s="165">
        <f t="shared" si="2"/>
        <v>6.2</v>
      </c>
      <c r="N5" s="165">
        <f>IF(E5=0,0,VLOOKUP(E5,Tabla!$C$6:$H$15,6,FALSE))</f>
        <v>2.5</v>
      </c>
      <c r="O5" s="166"/>
      <c r="P5" s="165">
        <f t="shared" si="3"/>
        <v>2.5</v>
      </c>
      <c r="Q5" s="165">
        <f>IF(E5=0,0,VLOOKUP(E5,Tabla!$C$6:$I$15,7,FALSE))</f>
        <v>0.7</v>
      </c>
      <c r="R5" s="44">
        <f t="shared" si="4"/>
        <v>9.3999999999999986</v>
      </c>
      <c r="S5" s="120"/>
      <c r="T5" s="120"/>
      <c r="U5" s="120"/>
      <c r="W5" s="108"/>
    </row>
    <row r="6" spans="2:24" s="44" customFormat="1" ht="12.75" customHeight="1">
      <c r="B6" s="114"/>
      <c r="C6" s="163">
        <f t="shared" si="5"/>
        <v>3</v>
      </c>
      <c r="D6" s="103" t="s">
        <v>97</v>
      </c>
      <c r="E6" s="163">
        <v>1</v>
      </c>
      <c r="F6" s="51" t="str">
        <f>VLOOKUP(E6,Parámetros!$B$13:$C$23,2,FALSE)</f>
        <v>Muy Baja</v>
      </c>
      <c r="G6" s="164">
        <f t="shared" si="0"/>
        <v>10.64</v>
      </c>
      <c r="H6" s="165">
        <f>IF(E6=0,0,VLOOKUP(E6,Tabla!$C$6:$F$15,4,FALSE))</f>
        <v>1.24</v>
      </c>
      <c r="I6" s="166"/>
      <c r="J6" s="165">
        <f t="shared" si="1"/>
        <v>1.24</v>
      </c>
      <c r="K6" s="165">
        <f>IF(E6=0,0,VLOOKUP(E6,Tabla!$C$6:$G$15,5,FALSE))</f>
        <v>6.2</v>
      </c>
      <c r="L6" s="166"/>
      <c r="M6" s="165">
        <f t="shared" si="2"/>
        <v>6.2</v>
      </c>
      <c r="N6" s="165">
        <f>IF(E6=0,0,VLOOKUP(E6,Tabla!$C$6:$H$15,6,FALSE))</f>
        <v>2.5</v>
      </c>
      <c r="O6" s="166"/>
      <c r="P6" s="165">
        <f t="shared" si="3"/>
        <v>2.5</v>
      </c>
      <c r="Q6" s="165">
        <f>IF(E6=0,0,VLOOKUP(E6,Tabla!$C$6:$I$15,7,FALSE))</f>
        <v>0.7</v>
      </c>
      <c r="R6" s="44">
        <f t="shared" si="4"/>
        <v>9.3999999999999986</v>
      </c>
      <c r="S6" s="120"/>
      <c r="T6" s="120"/>
      <c r="U6" s="120"/>
      <c r="W6" s="108"/>
    </row>
    <row r="7" spans="2:24" s="44" customFormat="1" ht="12.75" customHeight="1">
      <c r="B7" s="114"/>
      <c r="C7" s="163">
        <f t="shared" si="5"/>
        <v>4</v>
      </c>
      <c r="D7" s="103" t="s">
        <v>100</v>
      </c>
      <c r="E7" s="163">
        <v>2</v>
      </c>
      <c r="F7" s="51" t="str">
        <f>VLOOKUP(E7,Parámetros!$B$13:$C$23,2,FALSE)</f>
        <v>Baja</v>
      </c>
      <c r="G7" s="164">
        <f t="shared" si="0"/>
        <v>14.896000000000003</v>
      </c>
      <c r="H7" s="165">
        <f>IF(E7=0,0,VLOOKUP(E7,Tabla!$C$6:$F$15,4,FALSE))</f>
        <v>1.7360000000000002</v>
      </c>
      <c r="I7" s="166"/>
      <c r="J7" s="165">
        <f t="shared" si="1"/>
        <v>1.7360000000000002</v>
      </c>
      <c r="K7" s="165">
        <f>IF(E7=0,0,VLOOKUP(E7,Tabla!$C$6:$G$15,5,FALSE))</f>
        <v>8.6800000000000015</v>
      </c>
      <c r="L7" s="166"/>
      <c r="M7" s="165">
        <f t="shared" si="2"/>
        <v>8.6800000000000015</v>
      </c>
      <c r="N7" s="165">
        <f>IF(E7=0,0,VLOOKUP(E7,Tabla!$C$6:$H$15,6,FALSE))</f>
        <v>3.5</v>
      </c>
      <c r="O7" s="166"/>
      <c r="P7" s="165">
        <f t="shared" si="3"/>
        <v>3.5</v>
      </c>
      <c r="Q7" s="165">
        <f>IF(E7=0,0,VLOOKUP(E7,Tabla!$C$6:$I$15,7,FALSE))</f>
        <v>0.98</v>
      </c>
      <c r="R7" s="44">
        <f t="shared" si="4"/>
        <v>13.160000000000002</v>
      </c>
      <c r="S7" s="120"/>
      <c r="T7" s="120"/>
      <c r="U7" s="120"/>
      <c r="W7" s="108"/>
    </row>
    <row r="8" spans="2:24" s="44" customFormat="1" ht="12.75" customHeight="1">
      <c r="B8" s="114"/>
      <c r="C8" s="163">
        <f t="shared" si="5"/>
        <v>5</v>
      </c>
      <c r="D8" s="103" t="s">
        <v>101</v>
      </c>
      <c r="E8" s="163">
        <v>1</v>
      </c>
      <c r="F8" s="51" t="str">
        <f>VLOOKUP(E8,Parámetros!$B$13:$C$23,2,FALSE)</f>
        <v>Muy Baja</v>
      </c>
      <c r="G8" s="164">
        <f t="shared" si="0"/>
        <v>10.64</v>
      </c>
      <c r="H8" s="165">
        <f>IF(E8=0,0,VLOOKUP(E8,Tabla!$C$6:$F$15,4,FALSE))</f>
        <v>1.24</v>
      </c>
      <c r="I8" s="166"/>
      <c r="J8" s="165">
        <f t="shared" si="1"/>
        <v>1.24</v>
      </c>
      <c r="K8" s="165">
        <f>IF(E8=0,0,VLOOKUP(E8,Tabla!$C$6:$G$15,5,FALSE))</f>
        <v>6.2</v>
      </c>
      <c r="L8" s="166"/>
      <c r="M8" s="165">
        <f t="shared" si="2"/>
        <v>6.2</v>
      </c>
      <c r="N8" s="165">
        <f>IF(E8=0,0,VLOOKUP(E8,Tabla!$C$6:$H$15,6,FALSE))</f>
        <v>2.5</v>
      </c>
      <c r="O8" s="166"/>
      <c r="P8" s="165">
        <f t="shared" si="3"/>
        <v>2.5</v>
      </c>
      <c r="Q8" s="165">
        <f>IF(E8=0,0,VLOOKUP(E8,Tabla!$C$6:$I$15,7,FALSE))</f>
        <v>0.7</v>
      </c>
      <c r="R8" s="44">
        <f t="shared" si="4"/>
        <v>9.3999999999999986</v>
      </c>
      <c r="S8" s="120"/>
      <c r="T8" s="120"/>
      <c r="U8" s="120"/>
      <c r="W8" s="108"/>
    </row>
    <row r="9" spans="2:24" s="44" customFormat="1" ht="12.75" customHeight="1">
      <c r="B9" s="114"/>
      <c r="C9" s="163">
        <f t="shared" si="5"/>
        <v>6</v>
      </c>
      <c r="D9" s="103" t="s">
        <v>98</v>
      </c>
      <c r="E9" s="163">
        <v>1</v>
      </c>
      <c r="F9" s="51" t="str">
        <f>VLOOKUP(E9,Parámetros!$B$13:$C$23,2,FALSE)</f>
        <v>Muy Baja</v>
      </c>
      <c r="G9" s="164">
        <f t="shared" si="0"/>
        <v>10.64</v>
      </c>
      <c r="H9" s="165">
        <f>IF(E9=0,0,VLOOKUP(E9,Tabla!$C$6:$F$15,4,FALSE))</f>
        <v>1.24</v>
      </c>
      <c r="I9" s="166"/>
      <c r="J9" s="165">
        <f t="shared" si="1"/>
        <v>1.24</v>
      </c>
      <c r="K9" s="165">
        <f>IF(E9=0,0,VLOOKUP(E9,Tabla!$C$6:$G$15,5,FALSE))</f>
        <v>6.2</v>
      </c>
      <c r="L9" s="166"/>
      <c r="M9" s="165">
        <f t="shared" si="2"/>
        <v>6.2</v>
      </c>
      <c r="N9" s="165">
        <f>IF(E9=0,0,VLOOKUP(E9,Tabla!$C$6:$H$15,6,FALSE))</f>
        <v>2.5</v>
      </c>
      <c r="O9" s="166"/>
      <c r="P9" s="165">
        <f t="shared" si="3"/>
        <v>2.5</v>
      </c>
      <c r="Q9" s="165">
        <f>IF(E9=0,0,VLOOKUP(E9,Tabla!$C$6:$I$15,7,FALSE))</f>
        <v>0.7</v>
      </c>
      <c r="R9" s="44">
        <f t="shared" si="4"/>
        <v>9.3999999999999986</v>
      </c>
      <c r="S9" s="120"/>
      <c r="T9" s="120"/>
      <c r="U9" s="120"/>
      <c r="W9" s="108"/>
    </row>
    <row r="10" spans="2:24" s="44" customFormat="1" ht="12.75" customHeight="1">
      <c r="B10" s="114"/>
      <c r="C10" s="163">
        <f t="shared" si="5"/>
        <v>7</v>
      </c>
      <c r="D10" s="103" t="s">
        <v>99</v>
      </c>
      <c r="E10" s="163">
        <v>1</v>
      </c>
      <c r="F10" s="51" t="str">
        <f>VLOOKUP(E10,Parámetros!$B$13:$C$23,2,FALSE)</f>
        <v>Muy Baja</v>
      </c>
      <c r="G10" s="164">
        <f t="shared" si="0"/>
        <v>10.64</v>
      </c>
      <c r="H10" s="165">
        <f>IF(E10=0,0,VLOOKUP(E10,Tabla!$C$6:$F$15,4,FALSE))</f>
        <v>1.24</v>
      </c>
      <c r="I10" s="166"/>
      <c r="J10" s="165">
        <f t="shared" si="1"/>
        <v>1.24</v>
      </c>
      <c r="K10" s="165">
        <f>IF(E10=0,0,VLOOKUP(E10,Tabla!$C$6:$G$15,5,FALSE))</f>
        <v>6.2</v>
      </c>
      <c r="L10" s="166"/>
      <c r="M10" s="165">
        <f t="shared" si="2"/>
        <v>6.2</v>
      </c>
      <c r="N10" s="165">
        <f>IF(E10=0,0,VLOOKUP(E10,Tabla!$C$6:$H$15,6,FALSE))</f>
        <v>2.5</v>
      </c>
      <c r="O10" s="166"/>
      <c r="P10" s="165">
        <f t="shared" si="3"/>
        <v>2.5</v>
      </c>
      <c r="Q10" s="165">
        <f>IF(E10=0,0,VLOOKUP(E10,Tabla!$C$6:$I$15,7,FALSE))</f>
        <v>0.7</v>
      </c>
      <c r="S10" s="120"/>
      <c r="T10" s="120"/>
      <c r="U10" s="120"/>
      <c r="W10" s="108"/>
    </row>
    <row r="11" spans="2:24" ht="12.75" customHeight="1">
      <c r="B11" s="114"/>
      <c r="C11" s="20">
        <f t="shared" si="5"/>
        <v>8</v>
      </c>
      <c r="D11" s="103"/>
      <c r="E11" s="20"/>
      <c r="F11" s="51" t="str">
        <f>VLOOKUP(E11,Parámetros!$B$13:$C$23,2,FALSE)</f>
        <v>Ninguna</v>
      </c>
      <c r="G11" s="29">
        <f t="shared" si="0"/>
        <v>0</v>
      </c>
      <c r="H11" s="30">
        <f>IF(E11=0,0,VLOOKUP(E11,Tabla!$C$6:$F$15,4,FALSE))</f>
        <v>0</v>
      </c>
      <c r="I11" s="105"/>
      <c r="J11" s="30">
        <f t="shared" si="1"/>
        <v>0</v>
      </c>
      <c r="K11" s="30">
        <f>IF(E11=0,0,VLOOKUP(E11,Tabla!$C$6:$G$15,5,FALSE))</f>
        <v>0</v>
      </c>
      <c r="L11" s="105"/>
      <c r="M11" s="30">
        <f t="shared" si="2"/>
        <v>0</v>
      </c>
      <c r="N11" s="30">
        <f>IF(E11=0,0,VLOOKUP(E11,Tabla!$C$6:$H$15,6,FALSE))</f>
        <v>0</v>
      </c>
      <c r="O11" s="105"/>
      <c r="P11" s="30">
        <f t="shared" si="3"/>
        <v>0</v>
      </c>
      <c r="Q11" s="30">
        <f>IF(E11=0,0,VLOOKUP(E11,Tabla!$C$6:$I$15,7,FALSE))</f>
        <v>0</v>
      </c>
      <c r="S11" s="120"/>
      <c r="T11" s="120"/>
      <c r="U11" s="120"/>
      <c r="W11" s="108"/>
    </row>
    <row r="12" spans="2:24">
      <c r="B12" s="114"/>
      <c r="C12" s="20">
        <f t="shared" si="5"/>
        <v>9</v>
      </c>
      <c r="D12" s="103"/>
      <c r="E12" s="20"/>
      <c r="F12" s="51" t="str">
        <f>VLOOKUP(E12,Parámetros!$B$13:$C$23,2,FALSE)</f>
        <v>Ninguna</v>
      </c>
      <c r="G12" s="29">
        <f t="shared" si="0"/>
        <v>0</v>
      </c>
      <c r="H12" s="30">
        <f>IF(E12=0,0,VLOOKUP(E12,Tabla!$C$6:$F$15,4,FALSE))</f>
        <v>0</v>
      </c>
      <c r="I12" s="105"/>
      <c r="J12" s="30">
        <f t="shared" si="1"/>
        <v>0</v>
      </c>
      <c r="K12" s="30">
        <f>IF(E12=0,0,VLOOKUP(E12,Tabla!$C$6:$G$15,5,FALSE))</f>
        <v>0</v>
      </c>
      <c r="L12" s="105"/>
      <c r="M12" s="30">
        <f t="shared" si="2"/>
        <v>0</v>
      </c>
      <c r="N12" s="30">
        <f>IF(E12=0,0,VLOOKUP(E12,Tabla!$C$6:$H$15,6,FALSE))</f>
        <v>0</v>
      </c>
      <c r="O12" s="105"/>
      <c r="P12" s="30">
        <f t="shared" si="3"/>
        <v>0</v>
      </c>
      <c r="Q12" s="30">
        <f>IF(E12=0,0,VLOOKUP(E12,Tabla!$C$6:$I$15,7,FALSE))</f>
        <v>0</v>
      </c>
      <c r="S12" s="120"/>
      <c r="T12" s="120"/>
      <c r="U12" s="120"/>
      <c r="W12" s="108"/>
    </row>
    <row r="13" spans="2:24">
      <c r="B13" s="114"/>
      <c r="C13" s="20">
        <f t="shared" si="5"/>
        <v>10</v>
      </c>
      <c r="D13" s="103"/>
      <c r="E13" s="20"/>
      <c r="F13" s="51" t="str">
        <f>VLOOKUP(E13,Parámetros!$B$13:$C$23,2,FALSE)</f>
        <v>Ninguna</v>
      </c>
      <c r="G13" s="29">
        <f t="shared" si="0"/>
        <v>0</v>
      </c>
      <c r="H13" s="30">
        <f>IF(E13=0,0,VLOOKUP(E13,Tabla!$C$6:$F$15,4,FALSE))</f>
        <v>0</v>
      </c>
      <c r="I13" s="105"/>
      <c r="J13" s="30">
        <f t="shared" si="1"/>
        <v>0</v>
      </c>
      <c r="K13" s="30">
        <f>IF(E13=0,0,VLOOKUP(E13,Tabla!$C$6:$G$15,5,FALSE))</f>
        <v>0</v>
      </c>
      <c r="L13" s="105"/>
      <c r="M13" s="30">
        <f t="shared" si="2"/>
        <v>0</v>
      </c>
      <c r="N13" s="30">
        <f>IF(E13=0,0,VLOOKUP(E13,Tabla!$C$6:$H$15,6,FALSE))</f>
        <v>0</v>
      </c>
      <c r="O13" s="105"/>
      <c r="P13" s="30">
        <f t="shared" si="3"/>
        <v>0</v>
      </c>
      <c r="Q13" s="30">
        <f>IF(E13=0,0,VLOOKUP(E13,Tabla!$C$6:$I$15,7,FALSE))</f>
        <v>0</v>
      </c>
      <c r="S13" s="120"/>
      <c r="T13" s="120"/>
      <c r="U13" s="120"/>
      <c r="W13" s="108"/>
    </row>
    <row r="14" spans="2:24">
      <c r="B14" s="114"/>
      <c r="C14" s="20">
        <f t="shared" si="5"/>
        <v>11</v>
      </c>
      <c r="D14" s="103"/>
      <c r="E14" s="20"/>
      <c r="F14" s="51" t="str">
        <f>VLOOKUP(E14,Parámetros!$B$13:$C$23,2,FALSE)</f>
        <v>Ninguna</v>
      </c>
      <c r="G14" s="29">
        <f t="shared" si="0"/>
        <v>0</v>
      </c>
      <c r="H14" s="30">
        <f>IF(E14=0,0,VLOOKUP(E14,Tabla!$C$6:$F$15,4,FALSE))</f>
        <v>0</v>
      </c>
      <c r="I14" s="105"/>
      <c r="J14" s="30">
        <f t="shared" si="1"/>
        <v>0</v>
      </c>
      <c r="K14" s="30">
        <f>IF(E14=0,0,VLOOKUP(E14,Tabla!$C$6:$G$15,5,FALSE))</f>
        <v>0</v>
      </c>
      <c r="L14" s="105"/>
      <c r="M14" s="30">
        <f t="shared" si="2"/>
        <v>0</v>
      </c>
      <c r="N14" s="30">
        <f>IF(E14=0,0,VLOOKUP(E14,Tabla!$C$6:$H$15,6,FALSE))</f>
        <v>0</v>
      </c>
      <c r="O14" s="105"/>
      <c r="P14" s="30">
        <f t="shared" si="3"/>
        <v>0</v>
      </c>
      <c r="Q14" s="30">
        <f>IF(E14=0,0,VLOOKUP(E14,Tabla!$C$6:$I$15,7,FALSE))</f>
        <v>0</v>
      </c>
      <c r="S14" s="120"/>
      <c r="T14" s="120"/>
      <c r="U14" s="120"/>
      <c r="W14" s="108"/>
    </row>
    <row r="15" spans="2:24">
      <c r="B15" s="114"/>
      <c r="C15" s="20">
        <f t="shared" si="5"/>
        <v>12</v>
      </c>
      <c r="D15" s="103"/>
      <c r="E15" s="20"/>
      <c r="F15" s="51" t="str">
        <f>VLOOKUP(E15,Parámetros!$B$13:$C$23,2,FALSE)</f>
        <v>Ninguna</v>
      </c>
      <c r="G15" s="29">
        <f t="shared" si="0"/>
        <v>0</v>
      </c>
      <c r="H15" s="30">
        <f>IF(E15=0,0,VLOOKUP(E15,Tabla!$C$6:$F$15,4,FALSE))</f>
        <v>0</v>
      </c>
      <c r="I15" s="105"/>
      <c r="J15" s="30">
        <f t="shared" si="1"/>
        <v>0</v>
      </c>
      <c r="K15" s="30">
        <f>IF(E15=0,0,VLOOKUP(E15,Tabla!$C$6:$G$15,5,FALSE))</f>
        <v>0</v>
      </c>
      <c r="L15" s="105"/>
      <c r="M15" s="30">
        <f t="shared" si="2"/>
        <v>0</v>
      </c>
      <c r="N15" s="30">
        <f>IF(E15=0,0,VLOOKUP(E15,Tabla!$C$6:$H$15,6,FALSE))</f>
        <v>0</v>
      </c>
      <c r="O15" s="105"/>
      <c r="P15" s="30">
        <f t="shared" si="3"/>
        <v>0</v>
      </c>
      <c r="Q15" s="30">
        <f>IF(E15=0,0,VLOOKUP(E15,Tabla!$C$6:$I$15,7,FALSE))</f>
        <v>0</v>
      </c>
      <c r="S15" s="120"/>
      <c r="T15" s="120"/>
      <c r="U15" s="120"/>
      <c r="W15" s="108"/>
    </row>
    <row r="16" spans="2:24">
      <c r="B16" s="114"/>
      <c r="C16" s="20">
        <f t="shared" si="5"/>
        <v>13</v>
      </c>
      <c r="D16" s="103"/>
      <c r="E16" s="20"/>
      <c r="F16" s="51" t="str">
        <f>VLOOKUP(E16,Parámetros!$B$13:$C$23,2,FALSE)</f>
        <v>Ninguna</v>
      </c>
      <c r="G16" s="29">
        <f t="shared" si="0"/>
        <v>0</v>
      </c>
      <c r="H16" s="30">
        <f>IF(E16=0,0,VLOOKUP(E16,Tabla!$C$6:$F$15,4,FALSE))</f>
        <v>0</v>
      </c>
      <c r="I16" s="105"/>
      <c r="J16" s="30">
        <f t="shared" si="1"/>
        <v>0</v>
      </c>
      <c r="K16" s="30">
        <f>IF(E16=0,0,VLOOKUP(E16,Tabla!$C$6:$G$15,5,FALSE))</f>
        <v>0</v>
      </c>
      <c r="L16" s="105"/>
      <c r="M16" s="30">
        <f t="shared" si="2"/>
        <v>0</v>
      </c>
      <c r="N16" s="30">
        <f>IF(E16=0,0,VLOOKUP(E16,Tabla!$C$6:$H$15,6,FALSE))</f>
        <v>0</v>
      </c>
      <c r="O16" s="105"/>
      <c r="P16" s="30">
        <f t="shared" si="3"/>
        <v>0</v>
      </c>
      <c r="Q16" s="30">
        <f>IF(E16=0,0,VLOOKUP(E16,Tabla!$C$6:$I$15,7,FALSE))</f>
        <v>0</v>
      </c>
      <c r="S16" s="120"/>
      <c r="T16" s="120"/>
      <c r="U16" s="120"/>
      <c r="W16" s="108"/>
    </row>
    <row r="17" spans="2:23">
      <c r="B17" s="114"/>
      <c r="C17" s="20">
        <f t="shared" si="5"/>
        <v>14</v>
      </c>
      <c r="D17" s="103"/>
      <c r="E17" s="20"/>
      <c r="F17" s="51" t="str">
        <f>VLOOKUP(E17,Parámetros!$B$13:$C$23,2,FALSE)</f>
        <v>Ninguna</v>
      </c>
      <c r="G17" s="29">
        <f t="shared" si="0"/>
        <v>0</v>
      </c>
      <c r="H17" s="30">
        <f>IF(E17=0,0,VLOOKUP(E17,Tabla!$C$6:$F$15,4,FALSE))</f>
        <v>0</v>
      </c>
      <c r="I17" s="105"/>
      <c r="J17" s="30">
        <f t="shared" si="1"/>
        <v>0</v>
      </c>
      <c r="K17" s="30">
        <f>IF(E17=0,0,VLOOKUP(E17,Tabla!$C$6:$G$15,5,FALSE))</f>
        <v>0</v>
      </c>
      <c r="L17" s="105"/>
      <c r="M17" s="30">
        <f t="shared" si="2"/>
        <v>0</v>
      </c>
      <c r="N17" s="30">
        <f>IF(E17=0,0,VLOOKUP(E17,Tabla!$C$6:$H$15,6,FALSE))</f>
        <v>0</v>
      </c>
      <c r="O17" s="105"/>
      <c r="P17" s="30">
        <f t="shared" si="3"/>
        <v>0</v>
      </c>
      <c r="Q17" s="30">
        <f>IF(E17=0,0,VLOOKUP(E17,Tabla!$C$6:$I$15,7,FALSE))</f>
        <v>0</v>
      </c>
      <c r="S17" s="120"/>
      <c r="T17" s="120"/>
      <c r="U17" s="120"/>
      <c r="W17" s="108"/>
    </row>
    <row r="18" spans="2:23">
      <c r="B18" s="114"/>
      <c r="C18" s="20">
        <f t="shared" si="5"/>
        <v>15</v>
      </c>
      <c r="D18" s="102"/>
      <c r="E18" s="20"/>
      <c r="F18" s="51" t="str">
        <f>VLOOKUP(E18,Parámetros!$B$13:$C$23,2,FALSE)</f>
        <v>Ninguna</v>
      </c>
      <c r="G18" s="29">
        <f t="shared" si="0"/>
        <v>0</v>
      </c>
      <c r="H18" s="30">
        <f>IF(E18=0,0,VLOOKUP(E18,Tabla!$C$6:$F$15,4,FALSE))</f>
        <v>0</v>
      </c>
      <c r="I18" s="105"/>
      <c r="J18" s="30">
        <f t="shared" si="1"/>
        <v>0</v>
      </c>
      <c r="K18" s="30">
        <f>IF(E18=0,0,VLOOKUP(E18,Tabla!$C$6:$G$15,5,FALSE))</f>
        <v>0</v>
      </c>
      <c r="L18" s="105"/>
      <c r="M18" s="30">
        <f t="shared" si="2"/>
        <v>0</v>
      </c>
      <c r="N18" s="30">
        <f>IF(E18=0,0,VLOOKUP(E18,Tabla!$C$6:$H$15,6,FALSE))</f>
        <v>0</v>
      </c>
      <c r="O18" s="105"/>
      <c r="P18" s="30">
        <f t="shared" si="3"/>
        <v>0</v>
      </c>
      <c r="Q18" s="30"/>
      <c r="S18" s="120"/>
      <c r="T18" s="120"/>
      <c r="U18" s="120"/>
      <c r="W18" s="108"/>
    </row>
    <row r="19" spans="2:23">
      <c r="B19" s="115"/>
      <c r="C19" s="20">
        <f t="shared" si="5"/>
        <v>16</v>
      </c>
      <c r="D19" s="9"/>
      <c r="E19" s="20"/>
      <c r="F19" s="82" t="str">
        <f>VLOOKUP(E19,Parámetros!$B$13:$C$17,2,FALSE)</f>
        <v>Ninguna</v>
      </c>
      <c r="G19" s="83">
        <f>SUM(G4:G18)</f>
        <v>91.376000000000005</v>
      </c>
      <c r="H19" s="83">
        <f>SUM(H4:H18)</f>
        <v>10.416</v>
      </c>
      <c r="I19" s="83">
        <f>SUM(I4:I18)</f>
        <v>0</v>
      </c>
      <c r="J19" s="83">
        <f>SUM(J4:J18)</f>
        <v>10.416</v>
      </c>
      <c r="K19" s="83">
        <f>SUM(K4:K18)</f>
        <v>52.080000000000013</v>
      </c>
      <c r="L19" s="83">
        <f>SUM(L4:L18)</f>
        <v>2</v>
      </c>
      <c r="M19" s="83">
        <f>SUM(M4:M18)</f>
        <v>54.080000000000013</v>
      </c>
      <c r="N19" s="83">
        <f>SUM(N4:N18)</f>
        <v>21</v>
      </c>
      <c r="O19" s="83">
        <f>SUM(O4:O18)</f>
        <v>0</v>
      </c>
      <c r="P19" s="83">
        <f>SUM(P4:P18)</f>
        <v>21</v>
      </c>
      <c r="Q19" s="83">
        <f>SUM(Q4:Q18)</f>
        <v>5.88</v>
      </c>
      <c r="S19" s="121"/>
      <c r="T19" s="121"/>
      <c r="U19" s="121"/>
      <c r="W19" s="109"/>
    </row>
    <row r="20" spans="2:23" ht="12.75" customHeight="1">
      <c r="B20" s="116" t="s">
        <v>60</v>
      </c>
      <c r="C20" s="20">
        <f t="shared" si="5"/>
        <v>17</v>
      </c>
      <c r="D20" s="79"/>
      <c r="E20" s="20"/>
      <c r="F20" s="51" t="str">
        <f>VLOOKUP(E20,Parámetros!$B$13:$C$23,2,FALSE)</f>
        <v>Ninguna</v>
      </c>
      <c r="G20" s="29">
        <f t="shared" si="0"/>
        <v>0</v>
      </c>
      <c r="H20" s="30">
        <f>IF(E20=0,0,VLOOKUP(E20,Tabla!$C$6:$F$15,4,FALSE))</f>
        <v>0</v>
      </c>
      <c r="I20" s="105"/>
      <c r="J20" s="30">
        <f t="shared" si="1"/>
        <v>0</v>
      </c>
      <c r="K20" s="30">
        <f>IF(E20=0,0,VLOOKUP(E20,Tabla!$C$6:$G$15,5,FALSE))</f>
        <v>0</v>
      </c>
      <c r="L20" s="105"/>
      <c r="M20" s="30">
        <f t="shared" ref="M20:M23" si="6">K20+L20</f>
        <v>0</v>
      </c>
      <c r="N20" s="30">
        <f>IF(E20=0,0,VLOOKUP(E20,Tabla!$C$6:$H$15,6,FALSE))</f>
        <v>0</v>
      </c>
      <c r="O20" s="105"/>
      <c r="P20" s="30">
        <f t="shared" ref="P20:P23" si="7">N20+O20</f>
        <v>0</v>
      </c>
      <c r="Q20" s="30">
        <f>IF(E20=0,0,VLOOKUP(E20,Tabla!$C$6:$I$15,7,FALSE))</f>
        <v>0</v>
      </c>
      <c r="S20" s="119">
        <v>270</v>
      </c>
      <c r="T20" s="119">
        <v>270</v>
      </c>
      <c r="U20" s="119"/>
      <c r="W20" s="107">
        <f>+S20-G24</f>
        <v>270</v>
      </c>
    </row>
    <row r="21" spans="2:23">
      <c r="B21" s="117"/>
      <c r="C21" s="20">
        <f t="shared" si="5"/>
        <v>18</v>
      </c>
      <c r="D21" s="79"/>
      <c r="E21" s="20"/>
      <c r="F21" s="51" t="str">
        <f>VLOOKUP(E21,Parámetros!$B$13:$C$23,2,FALSE)</f>
        <v>Ninguna</v>
      </c>
      <c r="G21" s="29">
        <f t="shared" si="0"/>
        <v>0</v>
      </c>
      <c r="H21" s="30">
        <f>IF(E21=0,0,VLOOKUP(E21,Tabla!$C$6:$F$15,4,FALSE))</f>
        <v>0</v>
      </c>
      <c r="I21" s="105"/>
      <c r="J21" s="30">
        <f t="shared" si="1"/>
        <v>0</v>
      </c>
      <c r="K21" s="30">
        <f>IF(E21=0,0,VLOOKUP(E21,Tabla!$C$6:$G$15,5,FALSE))</f>
        <v>0</v>
      </c>
      <c r="L21" s="105"/>
      <c r="M21" s="30">
        <f t="shared" si="6"/>
        <v>0</v>
      </c>
      <c r="N21" s="30">
        <f>IF(E21=0,0,VLOOKUP(E21,Tabla!$C$6:$H$15,6,FALSE))</f>
        <v>0</v>
      </c>
      <c r="O21" s="105"/>
      <c r="P21" s="30">
        <f t="shared" si="7"/>
        <v>0</v>
      </c>
      <c r="Q21" s="30">
        <f>IF(E21=0,0,VLOOKUP(E21,Tabla!$C$6:$I$15,7,FALSE))</f>
        <v>0</v>
      </c>
      <c r="S21" s="120"/>
      <c r="T21" s="120"/>
      <c r="U21" s="120"/>
      <c r="W21" s="108"/>
    </row>
    <row r="22" spans="2:23">
      <c r="B22" s="117"/>
      <c r="C22" s="20">
        <f t="shared" si="5"/>
        <v>19</v>
      </c>
      <c r="D22" s="79"/>
      <c r="E22" s="20"/>
      <c r="F22" s="51" t="str">
        <f>VLOOKUP(E22,Parámetros!$B$13:$C$23,2,FALSE)</f>
        <v>Ninguna</v>
      </c>
      <c r="G22" s="29">
        <f t="shared" si="0"/>
        <v>0</v>
      </c>
      <c r="H22" s="30">
        <f>IF(E22=0,0,VLOOKUP(E22,Tabla!$C$6:$F$15,4,FALSE))</f>
        <v>0</v>
      </c>
      <c r="I22" s="105"/>
      <c r="J22" s="30">
        <f t="shared" si="1"/>
        <v>0</v>
      </c>
      <c r="K22" s="30">
        <f>IF(E22=0,0,VLOOKUP(E22,Tabla!$C$6:$G$15,5,FALSE))</f>
        <v>0</v>
      </c>
      <c r="L22" s="105"/>
      <c r="M22" s="30">
        <f t="shared" si="6"/>
        <v>0</v>
      </c>
      <c r="N22" s="30">
        <f>IF(E22=0,0,VLOOKUP(E22,Tabla!$C$6:$H$15,6,FALSE))</f>
        <v>0</v>
      </c>
      <c r="O22" s="105"/>
      <c r="P22" s="30">
        <f t="shared" si="7"/>
        <v>0</v>
      </c>
      <c r="Q22" s="30">
        <f>IF(E22=0,0,VLOOKUP(E22,Tabla!$C$6:$I$15,7,FALSE))</f>
        <v>0</v>
      </c>
      <c r="S22" s="120"/>
      <c r="T22" s="120"/>
      <c r="U22" s="120"/>
      <c r="W22" s="108"/>
    </row>
    <row r="23" spans="2:23">
      <c r="B23" s="117"/>
      <c r="C23" s="20">
        <f t="shared" si="5"/>
        <v>20</v>
      </c>
      <c r="D23" s="79"/>
      <c r="E23" s="20"/>
      <c r="F23" s="51" t="str">
        <f>VLOOKUP(E23,Parámetros!$B$13:$C$23,2,FALSE)</f>
        <v>Ninguna</v>
      </c>
      <c r="G23" s="29">
        <f t="shared" si="0"/>
        <v>0</v>
      </c>
      <c r="H23" s="30">
        <f>IF(E23=0,0,VLOOKUP(E23,Tabla!$C$6:$F$15,4,FALSE))</f>
        <v>0</v>
      </c>
      <c r="I23" s="105"/>
      <c r="J23" s="30">
        <f t="shared" si="1"/>
        <v>0</v>
      </c>
      <c r="K23" s="30">
        <f>IF(E23=0,0,VLOOKUP(E23,Tabla!$C$6:$G$15,5,FALSE))</f>
        <v>0</v>
      </c>
      <c r="L23" s="105"/>
      <c r="M23" s="30">
        <f t="shared" si="6"/>
        <v>0</v>
      </c>
      <c r="N23" s="30">
        <f>IF(E23=0,0,VLOOKUP(E23,Tabla!$C$6:$H$15,6,FALSE))</f>
        <v>0</v>
      </c>
      <c r="O23" s="105"/>
      <c r="P23" s="30">
        <f t="shared" si="7"/>
        <v>0</v>
      </c>
      <c r="Q23" s="30">
        <f>IF(E23=0,0,VLOOKUP(E23,Tabla!$C$6:$I$15,7,FALSE))</f>
        <v>0</v>
      </c>
      <c r="S23" s="120"/>
      <c r="T23" s="120"/>
      <c r="U23" s="120"/>
      <c r="W23" s="108"/>
    </row>
    <row r="24" spans="2:23">
      <c r="B24" s="118"/>
      <c r="C24" s="20">
        <f t="shared" si="5"/>
        <v>21</v>
      </c>
      <c r="D24" s="79"/>
      <c r="E24" s="20"/>
      <c r="F24" s="82" t="str">
        <f>VLOOKUP(E24,Parámetros!$B$13:$C$17,2,FALSE)</f>
        <v>Ninguna</v>
      </c>
      <c r="G24" s="83">
        <f t="shared" ref="G24:Q24" si="8">SUM(G20:G23)</f>
        <v>0</v>
      </c>
      <c r="H24" s="83">
        <f t="shared" si="8"/>
        <v>0</v>
      </c>
      <c r="I24" s="83">
        <f t="shared" si="8"/>
        <v>0</v>
      </c>
      <c r="J24" s="83">
        <f t="shared" si="8"/>
        <v>0</v>
      </c>
      <c r="K24" s="83">
        <f t="shared" si="8"/>
        <v>0</v>
      </c>
      <c r="L24" s="83">
        <f t="shared" si="8"/>
        <v>0</v>
      </c>
      <c r="M24" s="83">
        <f t="shared" si="8"/>
        <v>0</v>
      </c>
      <c r="N24" s="83">
        <f t="shared" si="8"/>
        <v>0</v>
      </c>
      <c r="O24" s="83">
        <f t="shared" si="8"/>
        <v>0</v>
      </c>
      <c r="P24" s="83">
        <f t="shared" si="8"/>
        <v>0</v>
      </c>
      <c r="Q24" s="83">
        <f t="shared" si="8"/>
        <v>0</v>
      </c>
      <c r="S24" s="121"/>
      <c r="T24" s="121"/>
      <c r="U24" s="121"/>
      <c r="W24" s="109"/>
    </row>
    <row r="25" spans="2:23" ht="12.75" customHeight="1">
      <c r="B25" s="113" t="s">
        <v>61</v>
      </c>
      <c r="C25" s="20">
        <f t="shared" si="5"/>
        <v>22</v>
      </c>
      <c r="D25" s="79"/>
      <c r="E25" s="20"/>
      <c r="F25" s="51" t="str">
        <f>VLOOKUP(E25,Parámetros!$B$13:$C$23,2,FALSE)</f>
        <v>Ninguna</v>
      </c>
      <c r="G25" s="29">
        <f t="shared" si="0"/>
        <v>0</v>
      </c>
      <c r="H25" s="30">
        <f>IF(E25=0,0,VLOOKUP(E25,Tabla!$C$6:$F$15,4,FALSE))</f>
        <v>0</v>
      </c>
      <c r="I25" s="105"/>
      <c r="J25" s="30">
        <f t="shared" si="1"/>
        <v>0</v>
      </c>
      <c r="K25" s="30">
        <f>IF(E25=0,0,VLOOKUP(E25,Tabla!$C$6:$G$15,5,FALSE))</f>
        <v>0</v>
      </c>
      <c r="L25" s="105"/>
      <c r="M25" s="30">
        <f t="shared" ref="M25:M32" si="9">K25+L25</f>
        <v>0</v>
      </c>
      <c r="N25" s="30">
        <f>IF(E25=0,0,VLOOKUP(E25,Tabla!$C$6:$H$15,6,FALSE))</f>
        <v>0</v>
      </c>
      <c r="O25" s="105"/>
      <c r="P25" s="30">
        <f t="shared" ref="P25:P32" si="10">N25+O25</f>
        <v>0</v>
      </c>
      <c r="Q25" s="30">
        <f>IF(E25=0,0,VLOOKUP(E25,Tabla!$C$6:$I$15,7,FALSE))</f>
        <v>0</v>
      </c>
      <c r="S25" s="119">
        <v>393</v>
      </c>
      <c r="T25" s="119">
        <v>393</v>
      </c>
      <c r="U25" s="122"/>
      <c r="W25" s="107">
        <f>+S25-G33</f>
        <v>393</v>
      </c>
    </row>
    <row r="26" spans="2:23">
      <c r="B26" s="114"/>
      <c r="C26" s="20">
        <f t="shared" si="5"/>
        <v>23</v>
      </c>
      <c r="D26" s="81"/>
      <c r="E26" s="20"/>
      <c r="F26" s="51" t="str">
        <f>VLOOKUP(E26,Parámetros!$B$13:$C$23,2,FALSE)</f>
        <v>Ninguna</v>
      </c>
      <c r="G26" s="29">
        <f t="shared" si="0"/>
        <v>0</v>
      </c>
      <c r="H26" s="30">
        <f>IF(E26=0,0,VLOOKUP(E26,Tabla!$C$6:$F$15,4,FALSE))</f>
        <v>0</v>
      </c>
      <c r="I26" s="105"/>
      <c r="J26" s="30">
        <f t="shared" si="1"/>
        <v>0</v>
      </c>
      <c r="K26" s="30">
        <f>IF(E26=0,0,VLOOKUP(E26,Tabla!$C$6:$G$15,5,FALSE))</f>
        <v>0</v>
      </c>
      <c r="L26" s="105"/>
      <c r="M26" s="30">
        <f t="shared" si="9"/>
        <v>0</v>
      </c>
      <c r="N26" s="30">
        <f>IF(E26=0,0,VLOOKUP(E26,Tabla!$C$6:$H$15,6,FALSE))</f>
        <v>0</v>
      </c>
      <c r="O26" s="105"/>
      <c r="P26" s="30">
        <f t="shared" si="10"/>
        <v>0</v>
      </c>
      <c r="Q26" s="30">
        <f>IF(E26=0,0,VLOOKUP(E26,Tabla!$C$6:$I$15,7,FALSE))</f>
        <v>0</v>
      </c>
      <c r="S26" s="120"/>
      <c r="T26" s="120"/>
      <c r="U26" s="123"/>
      <c r="W26" s="108"/>
    </row>
    <row r="27" spans="2:23">
      <c r="B27" s="114"/>
      <c r="C27" s="20">
        <f t="shared" si="5"/>
        <v>24</v>
      </c>
      <c r="D27" s="81"/>
      <c r="E27" s="20"/>
      <c r="F27" s="51" t="str">
        <f>VLOOKUP(E27,Parámetros!$B$13:$C$23,2,FALSE)</f>
        <v>Ninguna</v>
      </c>
      <c r="G27" s="29">
        <f t="shared" si="0"/>
        <v>0</v>
      </c>
      <c r="H27" s="30">
        <f>IF(E27=0,0,VLOOKUP(E27,Tabla!$C$6:$F$15,4,FALSE))</f>
        <v>0</v>
      </c>
      <c r="I27" s="105"/>
      <c r="J27" s="30">
        <f t="shared" si="1"/>
        <v>0</v>
      </c>
      <c r="K27" s="30">
        <f>IF(E27=0,0,VLOOKUP(E27,Tabla!$C$6:$G$15,5,FALSE))</f>
        <v>0</v>
      </c>
      <c r="L27" s="105"/>
      <c r="M27" s="30">
        <f t="shared" si="9"/>
        <v>0</v>
      </c>
      <c r="N27" s="30">
        <f>IF(E27=0,0,VLOOKUP(E27,Tabla!$C$6:$H$15,6,FALSE))</f>
        <v>0</v>
      </c>
      <c r="O27" s="105"/>
      <c r="P27" s="30">
        <f t="shared" si="10"/>
        <v>0</v>
      </c>
      <c r="Q27" s="30">
        <f>IF(E27=0,0,VLOOKUP(E27,Tabla!$C$6:$I$15,7,FALSE))</f>
        <v>0</v>
      </c>
      <c r="S27" s="120"/>
      <c r="T27" s="120"/>
      <c r="U27" s="123"/>
      <c r="W27" s="108"/>
    </row>
    <row r="28" spans="2:23">
      <c r="B28" s="114"/>
      <c r="C28" s="20">
        <f t="shared" si="5"/>
        <v>25</v>
      </c>
      <c r="D28" s="81"/>
      <c r="E28" s="20"/>
      <c r="F28" s="51" t="str">
        <f>VLOOKUP(E28,Parámetros!$B$13:$C$23,2,FALSE)</f>
        <v>Ninguna</v>
      </c>
      <c r="G28" s="29">
        <f t="shared" si="0"/>
        <v>0</v>
      </c>
      <c r="H28" s="30">
        <f>IF(E28=0,0,VLOOKUP(E28,Tabla!$C$6:$F$15,4,FALSE))</f>
        <v>0</v>
      </c>
      <c r="I28" s="105"/>
      <c r="J28" s="30">
        <f t="shared" si="1"/>
        <v>0</v>
      </c>
      <c r="K28" s="30">
        <f>IF(E28=0,0,VLOOKUP(E28,Tabla!$C$6:$G$15,5,FALSE))</f>
        <v>0</v>
      </c>
      <c r="L28" s="105"/>
      <c r="M28" s="30">
        <f t="shared" si="9"/>
        <v>0</v>
      </c>
      <c r="N28" s="30">
        <f>IF(E28=0,0,VLOOKUP(E28,Tabla!$C$6:$H$15,6,FALSE))</f>
        <v>0</v>
      </c>
      <c r="O28" s="105"/>
      <c r="P28" s="30">
        <f t="shared" si="10"/>
        <v>0</v>
      </c>
      <c r="Q28" s="30">
        <f>IF(E28=0,0,VLOOKUP(E28,Tabla!$C$6:$I$15,7,FALSE))</f>
        <v>0</v>
      </c>
      <c r="S28" s="120"/>
      <c r="T28" s="120"/>
      <c r="U28" s="123"/>
      <c r="W28" s="108"/>
    </row>
    <row r="29" spans="2:23">
      <c r="B29" s="114"/>
      <c r="C29" s="20">
        <f t="shared" si="5"/>
        <v>26</v>
      </c>
      <c r="D29" s="79"/>
      <c r="E29" s="20"/>
      <c r="F29" s="51" t="str">
        <f>VLOOKUP(E29,Parámetros!$B$13:$C$23,2,FALSE)</f>
        <v>Ninguna</v>
      </c>
      <c r="G29" s="29">
        <f t="shared" si="0"/>
        <v>0</v>
      </c>
      <c r="H29" s="30">
        <f>IF(E29=0,0,VLOOKUP(E29,Tabla!$C$6:$F$15,4,FALSE))</f>
        <v>0</v>
      </c>
      <c r="I29" s="105"/>
      <c r="J29" s="30">
        <f t="shared" si="1"/>
        <v>0</v>
      </c>
      <c r="K29" s="30">
        <f>IF(E29=0,0,VLOOKUP(E29,Tabla!$C$6:$G$15,5,FALSE))</f>
        <v>0</v>
      </c>
      <c r="L29" s="105"/>
      <c r="M29" s="30">
        <f t="shared" si="9"/>
        <v>0</v>
      </c>
      <c r="N29" s="30">
        <f>IF(E29=0,0,VLOOKUP(E29,Tabla!$C$6:$H$15,6,FALSE))</f>
        <v>0</v>
      </c>
      <c r="O29" s="105"/>
      <c r="P29" s="30">
        <f t="shared" si="10"/>
        <v>0</v>
      </c>
      <c r="Q29" s="30">
        <f>IF(E29=0,0,VLOOKUP(E29,Tabla!$C$6:$I$15,7,FALSE))</f>
        <v>0</v>
      </c>
      <c r="S29" s="120"/>
      <c r="T29" s="120"/>
      <c r="U29" s="123"/>
      <c r="W29" s="108"/>
    </row>
    <row r="30" spans="2:23">
      <c r="B30" s="114"/>
      <c r="C30" s="20">
        <f t="shared" si="5"/>
        <v>27</v>
      </c>
      <c r="D30" s="81"/>
      <c r="E30" s="20"/>
      <c r="F30" s="51" t="str">
        <f>VLOOKUP(E30,Parámetros!$B$13:$C$23,2,FALSE)</f>
        <v>Ninguna</v>
      </c>
      <c r="G30" s="29">
        <f t="shared" si="0"/>
        <v>0</v>
      </c>
      <c r="H30" s="30">
        <f>IF(E30=0,0,VLOOKUP(E30,Tabla!$C$6:$F$15,4,FALSE))</f>
        <v>0</v>
      </c>
      <c r="I30" s="105"/>
      <c r="J30" s="30">
        <f t="shared" si="1"/>
        <v>0</v>
      </c>
      <c r="K30" s="30">
        <f>IF(E30=0,0,VLOOKUP(E30,Tabla!$C$6:$G$15,5,FALSE))</f>
        <v>0</v>
      </c>
      <c r="L30" s="105"/>
      <c r="M30" s="30">
        <f t="shared" si="9"/>
        <v>0</v>
      </c>
      <c r="N30" s="30">
        <f>IF(E30=0,0,VLOOKUP(E30,Tabla!$C$6:$H$15,6,FALSE))</f>
        <v>0</v>
      </c>
      <c r="O30" s="105"/>
      <c r="P30" s="30">
        <f t="shared" si="10"/>
        <v>0</v>
      </c>
      <c r="Q30" s="30">
        <f>IF(E30=0,0,VLOOKUP(E30,Tabla!$C$6:$I$15,7,FALSE))</f>
        <v>0</v>
      </c>
      <c r="S30" s="120"/>
      <c r="T30" s="120"/>
      <c r="U30" s="123"/>
      <c r="W30" s="108"/>
    </row>
    <row r="31" spans="2:23">
      <c r="B31" s="114"/>
      <c r="C31" s="20">
        <f t="shared" si="5"/>
        <v>28</v>
      </c>
      <c r="D31" s="81"/>
      <c r="E31" s="20"/>
      <c r="F31" s="51" t="str">
        <f>VLOOKUP(E31,Parámetros!$B$13:$C$23,2,FALSE)</f>
        <v>Ninguna</v>
      </c>
      <c r="G31" s="29">
        <f t="shared" si="0"/>
        <v>0</v>
      </c>
      <c r="H31" s="30">
        <f>IF(E31=0,0,VLOOKUP(E31,Tabla!$C$6:$F$15,4,FALSE))</f>
        <v>0</v>
      </c>
      <c r="I31" s="105"/>
      <c r="J31" s="30">
        <f t="shared" si="1"/>
        <v>0</v>
      </c>
      <c r="K31" s="30">
        <f>IF(E31=0,0,VLOOKUP(E31,Tabla!$C$6:$G$15,5,FALSE))</f>
        <v>0</v>
      </c>
      <c r="L31" s="105"/>
      <c r="M31" s="30">
        <f t="shared" si="9"/>
        <v>0</v>
      </c>
      <c r="N31" s="30">
        <f>IF(E31=0,0,VLOOKUP(E31,Tabla!$C$6:$H$15,6,FALSE))</f>
        <v>0</v>
      </c>
      <c r="O31" s="105"/>
      <c r="P31" s="30">
        <f t="shared" si="10"/>
        <v>0</v>
      </c>
      <c r="Q31" s="30">
        <f>IF(E31=0,0,VLOOKUP(E31,Tabla!$C$6:$I$15,7,FALSE))</f>
        <v>0</v>
      </c>
      <c r="S31" s="120"/>
      <c r="T31" s="120"/>
      <c r="U31" s="123"/>
      <c r="W31" s="108"/>
    </row>
    <row r="32" spans="2:23">
      <c r="B32" s="114"/>
      <c r="C32" s="20">
        <f t="shared" si="5"/>
        <v>29</v>
      </c>
      <c r="D32" s="81"/>
      <c r="E32" s="20"/>
      <c r="F32" s="51" t="str">
        <f>VLOOKUP(E32,Parámetros!$B$13:$C$23,2,FALSE)</f>
        <v>Ninguna</v>
      </c>
      <c r="G32" s="29">
        <f t="shared" si="0"/>
        <v>0</v>
      </c>
      <c r="H32" s="30">
        <f>IF(E32=0,0,VLOOKUP(E32,Tabla!$C$6:$F$15,4,FALSE))</f>
        <v>0</v>
      </c>
      <c r="I32" s="105"/>
      <c r="J32" s="30">
        <f t="shared" si="1"/>
        <v>0</v>
      </c>
      <c r="K32" s="30">
        <f>IF(E32=0,0,VLOOKUP(E32,Tabla!$C$6:$G$15,5,FALSE))</f>
        <v>0</v>
      </c>
      <c r="L32" s="105"/>
      <c r="M32" s="30">
        <f t="shared" si="9"/>
        <v>0</v>
      </c>
      <c r="N32" s="30">
        <f>IF(E32=0,0,VLOOKUP(E32,Tabla!$C$6:$H$15,6,FALSE))</f>
        <v>0</v>
      </c>
      <c r="O32" s="105"/>
      <c r="P32" s="30">
        <f t="shared" si="10"/>
        <v>0</v>
      </c>
      <c r="Q32" s="30">
        <f>IF(E32=0,0,VLOOKUP(E32,Tabla!$C$6:$I$15,7,FALSE))</f>
        <v>0</v>
      </c>
      <c r="S32" s="120"/>
      <c r="T32" s="120"/>
      <c r="U32" s="123"/>
      <c r="W32" s="108"/>
    </row>
    <row r="33" spans="2:23">
      <c r="B33" s="115"/>
      <c r="C33" s="20">
        <f t="shared" si="5"/>
        <v>30</v>
      </c>
      <c r="D33" s="9"/>
      <c r="E33" s="20"/>
      <c r="F33" s="82" t="str">
        <f>VLOOKUP(E33,Parámetros!$B$13:$C$17,2,FALSE)</f>
        <v>Ninguna</v>
      </c>
      <c r="G33" s="83">
        <f t="shared" ref="G33:Q33" si="11">SUM(G25:G32)</f>
        <v>0</v>
      </c>
      <c r="H33" s="83">
        <f t="shared" si="11"/>
        <v>0</v>
      </c>
      <c r="I33" s="83">
        <f t="shared" si="11"/>
        <v>0</v>
      </c>
      <c r="J33" s="83">
        <f t="shared" si="11"/>
        <v>0</v>
      </c>
      <c r="K33" s="83">
        <f t="shared" si="11"/>
        <v>0</v>
      </c>
      <c r="L33" s="83">
        <f t="shared" si="11"/>
        <v>0</v>
      </c>
      <c r="M33" s="83">
        <f t="shared" si="11"/>
        <v>0</v>
      </c>
      <c r="N33" s="83">
        <f t="shared" si="11"/>
        <v>0</v>
      </c>
      <c r="O33" s="83">
        <f t="shared" si="11"/>
        <v>0</v>
      </c>
      <c r="P33" s="83">
        <f t="shared" si="11"/>
        <v>0</v>
      </c>
      <c r="Q33" s="83">
        <f t="shared" si="11"/>
        <v>0</v>
      </c>
      <c r="S33" s="121"/>
      <c r="T33" s="121"/>
      <c r="U33" s="124"/>
      <c r="W33" s="109"/>
    </row>
    <row r="34" spans="2:23">
      <c r="B34" s="110" t="s">
        <v>62</v>
      </c>
      <c r="C34" s="20">
        <f t="shared" si="5"/>
        <v>31</v>
      </c>
      <c r="D34" s="80"/>
      <c r="E34" s="20"/>
      <c r="F34" s="51" t="str">
        <f>VLOOKUP(E34,Parámetros!$B$13:$C$23,2,FALSE)</f>
        <v>Ninguna</v>
      </c>
      <c r="G34" s="29">
        <f t="shared" si="0"/>
        <v>0</v>
      </c>
      <c r="H34" s="30">
        <f>IF(E34=0,0,VLOOKUP(E34,Tabla!$C$6:$F$15,4,FALSE))</f>
        <v>0</v>
      </c>
      <c r="I34" s="105"/>
      <c r="J34" s="30">
        <f t="shared" si="1"/>
        <v>0</v>
      </c>
      <c r="K34" s="30">
        <f>IF(E34=0,0,VLOOKUP(E34,Tabla!$C$6:$G$15,5,FALSE))</f>
        <v>0</v>
      </c>
      <c r="L34" s="105"/>
      <c r="M34" s="30">
        <f t="shared" ref="M34:M42" si="12">K34+L34</f>
        <v>0</v>
      </c>
      <c r="N34" s="30">
        <f>IF(E34=0,0,VLOOKUP(E34,Tabla!$C$6:$H$15,6,FALSE))</f>
        <v>0</v>
      </c>
      <c r="O34" s="105"/>
      <c r="P34" s="30">
        <f t="shared" ref="P34:P42" si="13">N34+O34</f>
        <v>0</v>
      </c>
      <c r="Q34" s="30">
        <f>IF(E34=0,0,VLOOKUP(E34,Tabla!$C$6:$I$15,7,FALSE))</f>
        <v>0</v>
      </c>
      <c r="S34" s="119">
        <v>390</v>
      </c>
      <c r="T34" s="116">
        <v>390</v>
      </c>
      <c r="U34" s="122"/>
      <c r="W34" s="107">
        <f>+S34-G43</f>
        <v>390</v>
      </c>
    </row>
    <row r="35" spans="2:23">
      <c r="B35" s="111"/>
      <c r="C35" s="20">
        <f t="shared" si="5"/>
        <v>32</v>
      </c>
      <c r="D35" s="81"/>
      <c r="E35" s="20"/>
      <c r="F35" s="51" t="str">
        <f>VLOOKUP(E35,Parámetros!$B$13:$C$23,2,FALSE)</f>
        <v>Ninguna</v>
      </c>
      <c r="G35" s="29">
        <f t="shared" si="0"/>
        <v>0</v>
      </c>
      <c r="H35" s="30">
        <f>IF(E35=0,0,VLOOKUP(E35,Tabla!$C$6:$F$15,4,FALSE))</f>
        <v>0</v>
      </c>
      <c r="I35" s="105"/>
      <c r="J35" s="30">
        <f t="shared" si="1"/>
        <v>0</v>
      </c>
      <c r="K35" s="30">
        <f>IF(E35=0,0,VLOOKUP(E35,Tabla!$C$6:$G$15,5,FALSE))</f>
        <v>0</v>
      </c>
      <c r="L35" s="105"/>
      <c r="M35" s="30">
        <f t="shared" si="12"/>
        <v>0</v>
      </c>
      <c r="N35" s="30">
        <f>IF(E35=0,0,VLOOKUP(E35,Tabla!$C$6:$H$15,6,FALSE))</f>
        <v>0</v>
      </c>
      <c r="O35" s="105"/>
      <c r="P35" s="30">
        <f t="shared" si="13"/>
        <v>0</v>
      </c>
      <c r="Q35" s="30">
        <f>IF(E35=0,0,VLOOKUP(E35,Tabla!$C$6:$I$15,7,FALSE))</f>
        <v>0</v>
      </c>
      <c r="S35" s="120"/>
      <c r="T35" s="117"/>
      <c r="U35" s="123"/>
      <c r="W35" s="108"/>
    </row>
    <row r="36" spans="2:23">
      <c r="B36" s="111"/>
      <c r="C36" s="20">
        <f t="shared" si="5"/>
        <v>33</v>
      </c>
      <c r="D36" s="81"/>
      <c r="E36" s="20"/>
      <c r="F36" s="51" t="str">
        <f>VLOOKUP(E36,Parámetros!$B$13:$C$23,2,FALSE)</f>
        <v>Ninguna</v>
      </c>
      <c r="G36" s="29">
        <f t="shared" si="0"/>
        <v>0</v>
      </c>
      <c r="H36" s="30">
        <f>IF(E36=0,0,VLOOKUP(E36,Tabla!$C$6:$F$15,4,FALSE))</f>
        <v>0</v>
      </c>
      <c r="I36" s="105"/>
      <c r="J36" s="30">
        <f t="shared" si="1"/>
        <v>0</v>
      </c>
      <c r="K36" s="30">
        <f>IF(E36=0,0,VLOOKUP(E36,Tabla!$C$6:$G$15,5,FALSE))</f>
        <v>0</v>
      </c>
      <c r="L36" s="105"/>
      <c r="M36" s="30">
        <f t="shared" si="12"/>
        <v>0</v>
      </c>
      <c r="N36" s="30">
        <f>IF(E36=0,0,VLOOKUP(E36,Tabla!$C$6:$H$15,6,FALSE))</f>
        <v>0</v>
      </c>
      <c r="O36" s="105"/>
      <c r="P36" s="30">
        <f t="shared" si="13"/>
        <v>0</v>
      </c>
      <c r="Q36" s="30">
        <f>IF(E36=0,0,VLOOKUP(E36,Tabla!$C$6:$I$15,7,FALSE))</f>
        <v>0</v>
      </c>
      <c r="S36" s="120"/>
      <c r="T36" s="117"/>
      <c r="U36" s="123"/>
      <c r="W36" s="108"/>
    </row>
    <row r="37" spans="2:23">
      <c r="B37" s="111"/>
      <c r="C37" s="20">
        <f t="shared" si="5"/>
        <v>34</v>
      </c>
      <c r="D37" s="79"/>
      <c r="E37" s="20"/>
      <c r="F37" s="51" t="str">
        <f>VLOOKUP(E37,Parámetros!$B$13:$C$23,2,FALSE)</f>
        <v>Ninguna</v>
      </c>
      <c r="G37" s="29">
        <f t="shared" si="0"/>
        <v>0</v>
      </c>
      <c r="H37" s="30">
        <f>IF(E37=0,0,VLOOKUP(E37,Tabla!$C$6:$F$15,4,FALSE))</f>
        <v>0</v>
      </c>
      <c r="I37" s="105"/>
      <c r="J37" s="30">
        <f t="shared" si="1"/>
        <v>0</v>
      </c>
      <c r="K37" s="30">
        <f>IF(E37=0,0,VLOOKUP(E37,Tabla!$C$6:$G$15,5,FALSE))</f>
        <v>0</v>
      </c>
      <c r="L37" s="105"/>
      <c r="M37" s="30">
        <f t="shared" si="12"/>
        <v>0</v>
      </c>
      <c r="N37" s="30">
        <f>IF(E37=0,0,VLOOKUP(E37,Tabla!$C$6:$H$15,6,FALSE))</f>
        <v>0</v>
      </c>
      <c r="O37" s="105"/>
      <c r="P37" s="30">
        <f t="shared" si="13"/>
        <v>0</v>
      </c>
      <c r="Q37" s="30">
        <f>IF(E37=0,0,VLOOKUP(E37,Tabla!$C$6:$I$15,7,FALSE))</f>
        <v>0</v>
      </c>
      <c r="S37" s="120"/>
      <c r="T37" s="117"/>
      <c r="U37" s="123"/>
      <c r="W37" s="108"/>
    </row>
    <row r="38" spans="2:23">
      <c r="B38" s="111"/>
      <c r="C38" s="20">
        <f t="shared" si="5"/>
        <v>35</v>
      </c>
      <c r="D38" s="80"/>
      <c r="E38" s="20"/>
      <c r="F38" s="51" t="str">
        <f>VLOOKUP(E38,Parámetros!$B$13:$C$23,2,FALSE)</f>
        <v>Ninguna</v>
      </c>
      <c r="G38" s="29">
        <f t="shared" si="0"/>
        <v>0</v>
      </c>
      <c r="H38" s="30">
        <f>IF(E38=0,0,VLOOKUP(E38,Tabla!$C$6:$F$15,4,FALSE))</f>
        <v>0</v>
      </c>
      <c r="I38" s="105"/>
      <c r="J38" s="30">
        <f t="shared" si="1"/>
        <v>0</v>
      </c>
      <c r="K38" s="30">
        <f>IF(E38=0,0,VLOOKUP(E38,Tabla!$C$6:$G$15,5,FALSE))</f>
        <v>0</v>
      </c>
      <c r="L38" s="105"/>
      <c r="M38" s="30">
        <f t="shared" si="12"/>
        <v>0</v>
      </c>
      <c r="N38" s="30">
        <f>IF(E38=0,0,VLOOKUP(E38,Tabla!$C$6:$H$15,6,FALSE))</f>
        <v>0</v>
      </c>
      <c r="O38" s="105"/>
      <c r="P38" s="30">
        <f t="shared" si="13"/>
        <v>0</v>
      </c>
      <c r="Q38" s="30">
        <f>IF(E38=0,0,VLOOKUP(E38,Tabla!$C$6:$I$15,7,FALSE))</f>
        <v>0</v>
      </c>
      <c r="S38" s="120"/>
      <c r="T38" s="117"/>
      <c r="U38" s="123"/>
      <c r="W38" s="108"/>
    </row>
    <row r="39" spans="2:23">
      <c r="B39" s="111"/>
      <c r="C39" s="20">
        <f t="shared" si="5"/>
        <v>36</v>
      </c>
      <c r="D39" s="81"/>
      <c r="E39" s="20"/>
      <c r="F39" s="51" t="str">
        <f>VLOOKUP(E39,Parámetros!$B$13:$C$23,2,FALSE)</f>
        <v>Ninguna</v>
      </c>
      <c r="G39" s="29">
        <f t="shared" si="0"/>
        <v>0</v>
      </c>
      <c r="H39" s="30">
        <f>IF(E39=0,0,VLOOKUP(E39,Tabla!$C$6:$F$15,4,FALSE))</f>
        <v>0</v>
      </c>
      <c r="I39" s="105"/>
      <c r="J39" s="30">
        <f t="shared" si="1"/>
        <v>0</v>
      </c>
      <c r="K39" s="30">
        <f>IF(E39=0,0,VLOOKUP(E39,Tabla!$C$6:$G$15,5,FALSE))</f>
        <v>0</v>
      </c>
      <c r="L39" s="105"/>
      <c r="M39" s="30">
        <f t="shared" si="12"/>
        <v>0</v>
      </c>
      <c r="N39" s="30">
        <f>IF(E39=0,0,VLOOKUP(E39,Tabla!$C$6:$H$15,6,FALSE))</f>
        <v>0</v>
      </c>
      <c r="O39" s="105"/>
      <c r="P39" s="30">
        <f t="shared" si="13"/>
        <v>0</v>
      </c>
      <c r="Q39" s="30">
        <f>IF(E39=0,0,VLOOKUP(E39,Tabla!$C$6:$I$15,7,FALSE))</f>
        <v>0</v>
      </c>
      <c r="S39" s="120"/>
      <c r="T39" s="117"/>
      <c r="U39" s="123"/>
      <c r="W39" s="108"/>
    </row>
    <row r="40" spans="2:23">
      <c r="B40" s="111"/>
      <c r="C40" s="20">
        <f t="shared" si="5"/>
        <v>37</v>
      </c>
      <c r="D40" s="81"/>
      <c r="E40" s="20"/>
      <c r="F40" s="51" t="str">
        <f>VLOOKUP(E40,Parámetros!$B$13:$C$23,2,FALSE)</f>
        <v>Ninguna</v>
      </c>
      <c r="G40" s="29">
        <f t="shared" si="0"/>
        <v>0</v>
      </c>
      <c r="H40" s="30">
        <f>IF(E40=0,0,VLOOKUP(E40,Tabla!$C$6:$F$15,4,FALSE))</f>
        <v>0</v>
      </c>
      <c r="I40" s="105"/>
      <c r="J40" s="30">
        <f t="shared" si="1"/>
        <v>0</v>
      </c>
      <c r="K40" s="30">
        <f>IF(E40=0,0,VLOOKUP(E40,Tabla!$C$6:$G$15,5,FALSE))</f>
        <v>0</v>
      </c>
      <c r="L40" s="105"/>
      <c r="M40" s="30">
        <f t="shared" si="12"/>
        <v>0</v>
      </c>
      <c r="N40" s="30">
        <f>IF(E40=0,0,VLOOKUP(E40,Tabla!$C$6:$H$15,6,FALSE))</f>
        <v>0</v>
      </c>
      <c r="O40" s="105"/>
      <c r="P40" s="30">
        <f t="shared" si="13"/>
        <v>0</v>
      </c>
      <c r="Q40" s="30">
        <f>IF(E40=0,0,VLOOKUP(E40,Tabla!$C$6:$I$15,7,FALSE))</f>
        <v>0</v>
      </c>
      <c r="S40" s="120"/>
      <c r="T40" s="117"/>
      <c r="U40" s="123"/>
      <c r="W40" s="108"/>
    </row>
    <row r="41" spans="2:23">
      <c r="B41" s="111"/>
      <c r="C41" s="20">
        <f t="shared" si="5"/>
        <v>38</v>
      </c>
      <c r="D41" s="81"/>
      <c r="E41" s="20"/>
      <c r="F41" s="51" t="str">
        <f>VLOOKUP(E41,Parámetros!$B$13:$C$23,2,FALSE)</f>
        <v>Ninguna</v>
      </c>
      <c r="G41" s="29">
        <f t="shared" si="0"/>
        <v>0</v>
      </c>
      <c r="H41" s="30">
        <f>IF(E41=0,0,VLOOKUP(E41,Tabla!$C$6:$F$15,4,FALSE))</f>
        <v>0</v>
      </c>
      <c r="I41" s="105"/>
      <c r="J41" s="30">
        <f t="shared" si="1"/>
        <v>0</v>
      </c>
      <c r="K41" s="30">
        <f>IF(E41=0,0,VLOOKUP(E41,Tabla!$C$6:$G$15,5,FALSE))</f>
        <v>0</v>
      </c>
      <c r="L41" s="105"/>
      <c r="M41" s="30">
        <f t="shared" si="12"/>
        <v>0</v>
      </c>
      <c r="N41" s="30">
        <f>IF(E41=0,0,VLOOKUP(E41,Tabla!$C$6:$H$15,6,FALSE))</f>
        <v>0</v>
      </c>
      <c r="O41" s="105"/>
      <c r="P41" s="30">
        <f t="shared" si="13"/>
        <v>0</v>
      </c>
      <c r="Q41" s="30">
        <f>IF(E41=0,0,VLOOKUP(E41,Tabla!$C$6:$I$15,7,FALSE))</f>
        <v>0</v>
      </c>
      <c r="S41" s="120"/>
      <c r="T41" s="117"/>
      <c r="U41" s="123"/>
      <c r="W41" s="108"/>
    </row>
    <row r="42" spans="2:23">
      <c r="B42" s="111"/>
      <c r="C42" s="20">
        <f t="shared" si="5"/>
        <v>39</v>
      </c>
      <c r="D42" s="79"/>
      <c r="E42" s="20"/>
      <c r="F42" s="51" t="str">
        <f>VLOOKUP(E42,Parámetros!$B$13:$C$23,2,FALSE)</f>
        <v>Ninguna</v>
      </c>
      <c r="G42" s="29">
        <f t="shared" si="0"/>
        <v>0</v>
      </c>
      <c r="H42" s="30">
        <f>IF(E42=0,0,VLOOKUP(E42,Tabla!$C$6:$F$15,4,FALSE))</f>
        <v>0</v>
      </c>
      <c r="I42" s="105"/>
      <c r="J42" s="30">
        <f t="shared" si="1"/>
        <v>0</v>
      </c>
      <c r="K42" s="30">
        <f>IF(E42=0,0,VLOOKUP(E42,Tabla!$C$6:$G$15,5,FALSE))</f>
        <v>0</v>
      </c>
      <c r="L42" s="105"/>
      <c r="M42" s="30">
        <f t="shared" si="12"/>
        <v>0</v>
      </c>
      <c r="N42" s="30">
        <f>IF(E42=0,0,VLOOKUP(E42,Tabla!$C$6:$H$15,6,FALSE))</f>
        <v>0</v>
      </c>
      <c r="O42" s="105"/>
      <c r="P42" s="30">
        <f t="shared" si="13"/>
        <v>0</v>
      </c>
      <c r="Q42" s="30">
        <f>IF(E42=0,0,VLOOKUP(E42,Tabla!$C$6:$I$15,7,FALSE))</f>
        <v>0</v>
      </c>
      <c r="S42" s="120"/>
      <c r="T42" s="117"/>
      <c r="U42" s="123"/>
      <c r="W42" s="108"/>
    </row>
    <row r="43" spans="2:23">
      <c r="B43" s="112"/>
      <c r="C43" s="20">
        <f t="shared" si="5"/>
        <v>40</v>
      </c>
      <c r="D43" s="9"/>
      <c r="E43" s="20"/>
      <c r="F43" s="82" t="str">
        <f>VLOOKUP(E43,Parámetros!$B$13:$C$17,2,FALSE)</f>
        <v>Ninguna</v>
      </c>
      <c r="G43" s="83">
        <f t="shared" ref="G43:Q43" si="14">SUM(G34:G42)</f>
        <v>0</v>
      </c>
      <c r="H43" s="83">
        <f t="shared" si="14"/>
        <v>0</v>
      </c>
      <c r="I43" s="83">
        <f t="shared" si="14"/>
        <v>0</v>
      </c>
      <c r="J43" s="83">
        <f t="shared" si="14"/>
        <v>0</v>
      </c>
      <c r="K43" s="83">
        <f t="shared" si="14"/>
        <v>0</v>
      </c>
      <c r="L43" s="83">
        <f t="shared" si="14"/>
        <v>0</v>
      </c>
      <c r="M43" s="83">
        <f t="shared" si="14"/>
        <v>0</v>
      </c>
      <c r="N43" s="83">
        <f t="shared" si="14"/>
        <v>0</v>
      </c>
      <c r="O43" s="83">
        <f t="shared" si="14"/>
        <v>0</v>
      </c>
      <c r="P43" s="83">
        <f t="shared" si="14"/>
        <v>0</v>
      </c>
      <c r="Q43" s="83">
        <f t="shared" si="14"/>
        <v>0</v>
      </c>
      <c r="S43" s="121"/>
      <c r="T43" s="118"/>
      <c r="U43" s="124"/>
      <c r="W43" s="109"/>
    </row>
    <row r="44" spans="2:23">
      <c r="B44" s="110" t="s">
        <v>63</v>
      </c>
      <c r="C44" s="20">
        <f t="shared" si="5"/>
        <v>41</v>
      </c>
      <c r="D44" s="80"/>
      <c r="E44" s="20"/>
      <c r="F44" s="51" t="str">
        <f>VLOOKUP(E44,Parámetros!$B$13:$C$23,2,FALSE)</f>
        <v>Ninguna</v>
      </c>
      <c r="G44" s="29">
        <f t="shared" si="0"/>
        <v>0</v>
      </c>
      <c r="H44" s="30">
        <f>IF(E44=0,0,VLOOKUP(E44,Tabla!$C$6:$F$15,4,FALSE))</f>
        <v>0</v>
      </c>
      <c r="I44" s="105"/>
      <c r="J44" s="30">
        <f t="shared" si="1"/>
        <v>0</v>
      </c>
      <c r="K44" s="30">
        <f>IF(E44=0,0,VLOOKUP(E44,Tabla!$C$6:$G$15,5,FALSE))</f>
        <v>0</v>
      </c>
      <c r="L44" s="105"/>
      <c r="M44" s="30">
        <f t="shared" ref="M44:M53" si="15">K44+L44</f>
        <v>0</v>
      </c>
      <c r="N44" s="30">
        <f>IF(E44=0,0,VLOOKUP(E44,Tabla!$C$6:$H$15,6,FALSE))</f>
        <v>0</v>
      </c>
      <c r="O44" s="105"/>
      <c r="P44" s="30">
        <f t="shared" ref="P44:P53" si="16">N44+O44</f>
        <v>0</v>
      </c>
      <c r="Q44" s="30">
        <f>IF(E44=0,0,VLOOKUP(E44,Tabla!$C$6:$I$15,7,FALSE))</f>
        <v>0</v>
      </c>
      <c r="S44" s="116">
        <v>575</v>
      </c>
      <c r="T44" s="116">
        <v>575</v>
      </c>
      <c r="U44" s="122"/>
      <c r="W44" s="107">
        <f>+S44-G54</f>
        <v>575</v>
      </c>
    </row>
    <row r="45" spans="2:23">
      <c r="B45" s="111"/>
      <c r="C45" s="20">
        <f t="shared" si="5"/>
        <v>42</v>
      </c>
      <c r="D45" s="81"/>
      <c r="E45" s="20"/>
      <c r="F45" s="51" t="str">
        <f>VLOOKUP(E45,Parámetros!$B$13:$C$23,2,FALSE)</f>
        <v>Ninguna</v>
      </c>
      <c r="G45" s="29">
        <f t="shared" si="0"/>
        <v>0</v>
      </c>
      <c r="H45" s="30">
        <f>IF(E45=0,0,VLOOKUP(E45,Tabla!$C$6:$F$15,4,FALSE))</f>
        <v>0</v>
      </c>
      <c r="I45" s="105"/>
      <c r="J45" s="30">
        <f t="shared" si="1"/>
        <v>0</v>
      </c>
      <c r="K45" s="30">
        <f>IF(E45=0,0,VLOOKUP(E45,Tabla!$C$6:$G$15,5,FALSE))</f>
        <v>0</v>
      </c>
      <c r="L45" s="105"/>
      <c r="M45" s="30">
        <f t="shared" si="15"/>
        <v>0</v>
      </c>
      <c r="N45" s="30">
        <f>IF(E45=0,0,VLOOKUP(E45,Tabla!$C$6:$H$15,6,FALSE))</f>
        <v>0</v>
      </c>
      <c r="O45" s="105"/>
      <c r="P45" s="30">
        <f t="shared" si="16"/>
        <v>0</v>
      </c>
      <c r="Q45" s="30">
        <f>IF(E45=0,0,VLOOKUP(E45,Tabla!$C$6:$I$15,7,FALSE))</f>
        <v>0</v>
      </c>
      <c r="S45" s="117"/>
      <c r="T45" s="117"/>
      <c r="U45" s="123"/>
      <c r="W45" s="108"/>
    </row>
    <row r="46" spans="2:23">
      <c r="B46" s="111"/>
      <c r="C46" s="20">
        <f t="shared" si="5"/>
        <v>43</v>
      </c>
      <c r="D46" s="81"/>
      <c r="E46" s="20"/>
      <c r="F46" s="51" t="str">
        <f>VLOOKUP(E46,Parámetros!$B$13:$C$23,2,FALSE)</f>
        <v>Ninguna</v>
      </c>
      <c r="G46" s="29">
        <f t="shared" si="0"/>
        <v>0</v>
      </c>
      <c r="H46" s="30">
        <f>IF(E46=0,0,VLOOKUP(E46,Tabla!$C$6:$F$15,4,FALSE))</f>
        <v>0</v>
      </c>
      <c r="I46" s="105"/>
      <c r="J46" s="30">
        <f t="shared" si="1"/>
        <v>0</v>
      </c>
      <c r="K46" s="30">
        <f>IF(E46=0,0,VLOOKUP(E46,Tabla!$C$6:$G$15,5,FALSE))</f>
        <v>0</v>
      </c>
      <c r="L46" s="105"/>
      <c r="M46" s="30">
        <f t="shared" si="15"/>
        <v>0</v>
      </c>
      <c r="N46" s="30">
        <f>IF(E46=0,0,VLOOKUP(E46,Tabla!$C$6:$H$15,6,FALSE))</f>
        <v>0</v>
      </c>
      <c r="O46" s="105"/>
      <c r="P46" s="30">
        <f t="shared" si="16"/>
        <v>0</v>
      </c>
      <c r="Q46" s="30">
        <f>IF(E46=0,0,VLOOKUP(E46,Tabla!$C$6:$I$15,7,FALSE))</f>
        <v>0</v>
      </c>
      <c r="S46" s="117"/>
      <c r="T46" s="117"/>
      <c r="U46" s="123"/>
      <c r="W46" s="108"/>
    </row>
    <row r="47" spans="2:23">
      <c r="B47" s="111"/>
      <c r="C47" s="20">
        <f t="shared" si="5"/>
        <v>44</v>
      </c>
      <c r="D47" s="80"/>
      <c r="E47" s="20"/>
      <c r="F47" s="51" t="str">
        <f>VLOOKUP(E47,Parámetros!$B$13:$C$23,2,FALSE)</f>
        <v>Ninguna</v>
      </c>
      <c r="G47" s="29">
        <f t="shared" si="0"/>
        <v>0</v>
      </c>
      <c r="H47" s="30">
        <f>IF(E47=0,0,VLOOKUP(E47,Tabla!$C$6:$F$15,4,FALSE))</f>
        <v>0</v>
      </c>
      <c r="I47" s="105"/>
      <c r="J47" s="30">
        <f t="shared" si="1"/>
        <v>0</v>
      </c>
      <c r="K47" s="30">
        <f>IF(E47=0,0,VLOOKUP(E47,Tabla!$C$6:$G$15,5,FALSE))</f>
        <v>0</v>
      </c>
      <c r="L47" s="105"/>
      <c r="M47" s="30">
        <f t="shared" si="15"/>
        <v>0</v>
      </c>
      <c r="N47" s="30">
        <f>IF(E47=0,0,VLOOKUP(E47,Tabla!$C$6:$H$15,6,FALSE))</f>
        <v>0</v>
      </c>
      <c r="O47" s="105"/>
      <c r="P47" s="30">
        <f t="shared" si="16"/>
        <v>0</v>
      </c>
      <c r="Q47" s="30">
        <f>IF(E47=0,0,VLOOKUP(E47,Tabla!$C$6:$I$15,7,FALSE))</f>
        <v>0</v>
      </c>
      <c r="S47" s="117"/>
      <c r="T47" s="117"/>
      <c r="U47" s="123"/>
      <c r="W47" s="108"/>
    </row>
    <row r="48" spans="2:23">
      <c r="B48" s="111"/>
      <c r="C48" s="20">
        <f t="shared" si="5"/>
        <v>45</v>
      </c>
      <c r="D48" s="81"/>
      <c r="E48" s="20"/>
      <c r="F48" s="51" t="str">
        <f>VLOOKUP(E48,Parámetros!$B$13:$C$23,2,FALSE)</f>
        <v>Ninguna</v>
      </c>
      <c r="G48" s="29">
        <f t="shared" si="0"/>
        <v>0</v>
      </c>
      <c r="H48" s="30">
        <f>IF(E48=0,0,VLOOKUP(E48,Tabla!$C$6:$F$15,4,FALSE))</f>
        <v>0</v>
      </c>
      <c r="I48" s="105"/>
      <c r="J48" s="30">
        <f t="shared" si="1"/>
        <v>0</v>
      </c>
      <c r="K48" s="30">
        <f>IF(E48=0,0,VLOOKUP(E48,Tabla!$C$6:$G$15,5,FALSE))</f>
        <v>0</v>
      </c>
      <c r="L48" s="105"/>
      <c r="M48" s="30">
        <f t="shared" si="15"/>
        <v>0</v>
      </c>
      <c r="N48" s="30">
        <f>IF(E48=0,0,VLOOKUP(E48,Tabla!$C$6:$H$15,6,FALSE))</f>
        <v>0</v>
      </c>
      <c r="O48" s="105"/>
      <c r="P48" s="30">
        <f t="shared" si="16"/>
        <v>0</v>
      </c>
      <c r="Q48" s="30">
        <f>IF(E48=0,0,VLOOKUP(E48,Tabla!$C$6:$I$15,7,FALSE))</f>
        <v>0</v>
      </c>
      <c r="S48" s="117"/>
      <c r="T48" s="117"/>
      <c r="U48" s="123"/>
      <c r="W48" s="108"/>
    </row>
    <row r="49" spans="2:23">
      <c r="B49" s="111"/>
      <c r="C49" s="20">
        <f t="shared" si="5"/>
        <v>46</v>
      </c>
      <c r="D49" s="81"/>
      <c r="E49" s="20"/>
      <c r="F49" s="51" t="str">
        <f>VLOOKUP(E49,Parámetros!$B$13:$C$23,2,FALSE)</f>
        <v>Ninguna</v>
      </c>
      <c r="G49" s="29">
        <f t="shared" si="0"/>
        <v>0</v>
      </c>
      <c r="H49" s="30">
        <f>IF(E49=0,0,VLOOKUP(E49,Tabla!$C$6:$F$15,4,FALSE))</f>
        <v>0</v>
      </c>
      <c r="I49" s="105"/>
      <c r="J49" s="30">
        <f t="shared" si="1"/>
        <v>0</v>
      </c>
      <c r="K49" s="30">
        <f>IF(E49=0,0,VLOOKUP(E49,Tabla!$C$6:$G$15,5,FALSE))</f>
        <v>0</v>
      </c>
      <c r="L49" s="105"/>
      <c r="M49" s="30">
        <f t="shared" si="15"/>
        <v>0</v>
      </c>
      <c r="N49" s="30">
        <f>IF(E49=0,0,VLOOKUP(E49,Tabla!$C$6:$H$15,6,FALSE))</f>
        <v>0</v>
      </c>
      <c r="O49" s="105"/>
      <c r="P49" s="30">
        <f t="shared" si="16"/>
        <v>0</v>
      </c>
      <c r="Q49" s="30">
        <f>IF(E49=0,0,VLOOKUP(E49,Tabla!$C$6:$I$15,7,FALSE))</f>
        <v>0</v>
      </c>
      <c r="S49" s="117"/>
      <c r="T49" s="117"/>
      <c r="U49" s="123"/>
      <c r="W49" s="108"/>
    </row>
    <row r="50" spans="2:23">
      <c r="B50" s="111"/>
      <c r="C50" s="20">
        <f t="shared" si="5"/>
        <v>47</v>
      </c>
      <c r="D50" s="80"/>
      <c r="E50" s="20"/>
      <c r="F50" s="51" t="str">
        <f>VLOOKUP(E50,Parámetros!$B$13:$C$23,2,FALSE)</f>
        <v>Ninguna</v>
      </c>
      <c r="G50" s="29">
        <f t="shared" si="0"/>
        <v>0</v>
      </c>
      <c r="H50" s="30">
        <f>IF(E50=0,0,VLOOKUP(E50,Tabla!$C$6:$F$15,4,FALSE))</f>
        <v>0</v>
      </c>
      <c r="I50" s="105"/>
      <c r="J50" s="30">
        <f t="shared" si="1"/>
        <v>0</v>
      </c>
      <c r="K50" s="30">
        <f>IF(E50=0,0,VLOOKUP(E50,Tabla!$C$6:$G$15,5,FALSE))</f>
        <v>0</v>
      </c>
      <c r="L50" s="105"/>
      <c r="M50" s="30">
        <f t="shared" si="15"/>
        <v>0</v>
      </c>
      <c r="N50" s="30">
        <f>IF(E50=0,0,VLOOKUP(E50,Tabla!$C$6:$H$15,6,FALSE))</f>
        <v>0</v>
      </c>
      <c r="O50" s="105"/>
      <c r="P50" s="30">
        <f t="shared" si="16"/>
        <v>0</v>
      </c>
      <c r="Q50" s="30">
        <f>IF(E50=0,0,VLOOKUP(E50,Tabla!$C$6:$I$15,7,FALSE))</f>
        <v>0</v>
      </c>
      <c r="S50" s="117"/>
      <c r="T50" s="117"/>
      <c r="U50" s="123"/>
      <c r="W50" s="108"/>
    </row>
    <row r="51" spans="2:23">
      <c r="B51" s="111"/>
      <c r="C51" s="20">
        <f t="shared" si="5"/>
        <v>48</v>
      </c>
      <c r="D51" s="81"/>
      <c r="E51" s="20"/>
      <c r="F51" s="51" t="str">
        <f>VLOOKUP(E51,Parámetros!$B$13:$C$23,2,FALSE)</f>
        <v>Ninguna</v>
      </c>
      <c r="G51" s="29">
        <f t="shared" si="0"/>
        <v>0</v>
      </c>
      <c r="H51" s="30">
        <f>IF(E51=0,0,VLOOKUP(E51,Tabla!$C$6:$F$15,4,FALSE))</f>
        <v>0</v>
      </c>
      <c r="I51" s="105"/>
      <c r="J51" s="30">
        <f t="shared" si="1"/>
        <v>0</v>
      </c>
      <c r="K51" s="30">
        <f>IF(E51=0,0,VLOOKUP(E51,Tabla!$C$6:$G$15,5,FALSE))</f>
        <v>0</v>
      </c>
      <c r="L51" s="105"/>
      <c r="M51" s="30">
        <f t="shared" si="15"/>
        <v>0</v>
      </c>
      <c r="N51" s="30">
        <f>IF(E51=0,0,VLOOKUP(E51,Tabla!$C$6:$H$15,6,FALSE))</f>
        <v>0</v>
      </c>
      <c r="O51" s="105"/>
      <c r="P51" s="30">
        <f t="shared" si="16"/>
        <v>0</v>
      </c>
      <c r="Q51" s="30">
        <f>IF(E51=0,0,VLOOKUP(E51,Tabla!$C$6:$I$15,7,FALSE))</f>
        <v>0</v>
      </c>
      <c r="S51" s="117"/>
      <c r="T51" s="117"/>
      <c r="U51" s="123"/>
      <c r="W51" s="108"/>
    </row>
    <row r="52" spans="2:23">
      <c r="B52" s="111"/>
      <c r="C52" s="20">
        <f t="shared" si="5"/>
        <v>49</v>
      </c>
      <c r="D52" s="81"/>
      <c r="E52" s="20"/>
      <c r="F52" s="51" t="str">
        <f>VLOOKUP(E52,Parámetros!$B$13:$C$23,2,FALSE)</f>
        <v>Ninguna</v>
      </c>
      <c r="G52" s="29">
        <f t="shared" si="0"/>
        <v>0</v>
      </c>
      <c r="H52" s="30">
        <f>IF(E52=0,0,VLOOKUP(E52,Tabla!$C$6:$F$15,4,FALSE))</f>
        <v>0</v>
      </c>
      <c r="I52" s="105"/>
      <c r="J52" s="30">
        <f t="shared" si="1"/>
        <v>0</v>
      </c>
      <c r="K52" s="30">
        <f>IF(E52=0,0,VLOOKUP(E52,Tabla!$C$6:$G$15,5,FALSE))</f>
        <v>0</v>
      </c>
      <c r="L52" s="105"/>
      <c r="M52" s="30">
        <f t="shared" si="15"/>
        <v>0</v>
      </c>
      <c r="N52" s="30">
        <f>IF(E52=0,0,VLOOKUP(E52,Tabla!$C$6:$H$15,6,FALSE))</f>
        <v>0</v>
      </c>
      <c r="O52" s="105"/>
      <c r="P52" s="30">
        <f t="shared" si="16"/>
        <v>0</v>
      </c>
      <c r="Q52" s="30">
        <f>IF(E52=0,0,VLOOKUP(E52,Tabla!$C$6:$I$15,7,FALSE))</f>
        <v>0</v>
      </c>
      <c r="S52" s="117"/>
      <c r="T52" s="117"/>
      <c r="U52" s="123"/>
      <c r="W52" s="108"/>
    </row>
    <row r="53" spans="2:23">
      <c r="B53" s="111"/>
      <c r="C53" s="20">
        <f t="shared" si="5"/>
        <v>50</v>
      </c>
      <c r="D53" s="79"/>
      <c r="E53" s="20"/>
      <c r="F53" s="51" t="str">
        <f>VLOOKUP(E53,Parámetros!$B$13:$C$23,2,FALSE)</f>
        <v>Ninguna</v>
      </c>
      <c r="G53" s="29">
        <f t="shared" si="0"/>
        <v>0</v>
      </c>
      <c r="H53" s="30">
        <f>IF(E53=0,0,VLOOKUP(E53,Tabla!$C$6:$F$15,4,FALSE))</f>
        <v>0</v>
      </c>
      <c r="I53" s="105"/>
      <c r="J53" s="30">
        <f t="shared" si="1"/>
        <v>0</v>
      </c>
      <c r="K53" s="30">
        <f>IF(E53=0,0,VLOOKUP(E53,Tabla!$C$6:$G$15,5,FALSE))</f>
        <v>0</v>
      </c>
      <c r="L53" s="105"/>
      <c r="M53" s="30">
        <f t="shared" si="15"/>
        <v>0</v>
      </c>
      <c r="N53" s="30">
        <f>IF(E53=0,0,VLOOKUP(E53,Tabla!$C$6:$H$15,6,FALSE))</f>
        <v>0</v>
      </c>
      <c r="O53" s="105"/>
      <c r="P53" s="30">
        <f t="shared" si="16"/>
        <v>0</v>
      </c>
      <c r="Q53" s="30">
        <f>IF(E53=0,0,VLOOKUP(E53,Tabla!$C$6:$I$15,7,FALSE))</f>
        <v>0</v>
      </c>
      <c r="S53" s="117"/>
      <c r="T53" s="117"/>
      <c r="U53" s="123"/>
      <c r="W53" s="108"/>
    </row>
    <row r="54" spans="2:23">
      <c r="B54" s="112"/>
      <c r="C54" s="20">
        <f t="shared" si="5"/>
        <v>51</v>
      </c>
      <c r="D54" s="9"/>
      <c r="E54" s="20"/>
      <c r="F54" s="82" t="str">
        <f>VLOOKUP(E54,Parámetros!$B$13:$C$17,2,FALSE)</f>
        <v>Ninguna</v>
      </c>
      <c r="G54" s="83">
        <f t="shared" ref="G54:Q54" si="17">SUM(G44:G53)</f>
        <v>0</v>
      </c>
      <c r="H54" s="83">
        <f t="shared" si="17"/>
        <v>0</v>
      </c>
      <c r="I54" s="83">
        <f t="shared" si="17"/>
        <v>0</v>
      </c>
      <c r="J54" s="83">
        <f t="shared" si="17"/>
        <v>0</v>
      </c>
      <c r="K54" s="83">
        <f t="shared" si="17"/>
        <v>0</v>
      </c>
      <c r="L54" s="83">
        <f t="shared" si="17"/>
        <v>0</v>
      </c>
      <c r="M54" s="83">
        <f t="shared" si="17"/>
        <v>0</v>
      </c>
      <c r="N54" s="83">
        <f t="shared" si="17"/>
        <v>0</v>
      </c>
      <c r="O54" s="83">
        <f t="shared" si="17"/>
        <v>0</v>
      </c>
      <c r="P54" s="83">
        <f t="shared" si="17"/>
        <v>0</v>
      </c>
      <c r="Q54" s="83">
        <f t="shared" si="17"/>
        <v>0</v>
      </c>
      <c r="S54" s="118"/>
      <c r="T54" s="118"/>
      <c r="U54" s="124"/>
      <c r="W54" s="109"/>
    </row>
    <row r="55" spans="2:23">
      <c r="B55" s="33" t="s">
        <v>7</v>
      </c>
      <c r="C55" s="34">
        <f>COUNT(C4:C54)</f>
        <v>51</v>
      </c>
      <c r="D55" s="33"/>
      <c r="E55" s="33"/>
      <c r="F55" s="33"/>
      <c r="G55" s="35">
        <f>+G19+G24+G33+G43+G54</f>
        <v>91.376000000000005</v>
      </c>
      <c r="H55" s="35">
        <f t="shared" ref="H55:Q55" si="18">+H19+H24+H33+H43+H54</f>
        <v>10.416</v>
      </c>
      <c r="I55" s="35">
        <f t="shared" si="18"/>
        <v>0</v>
      </c>
      <c r="J55" s="35">
        <f t="shared" si="18"/>
        <v>10.416</v>
      </c>
      <c r="K55" s="35">
        <f t="shared" si="18"/>
        <v>52.080000000000013</v>
      </c>
      <c r="L55" s="35">
        <f t="shared" si="18"/>
        <v>2</v>
      </c>
      <c r="M55" s="35">
        <f t="shared" si="18"/>
        <v>54.080000000000013</v>
      </c>
      <c r="N55" s="35">
        <f t="shared" si="18"/>
        <v>21</v>
      </c>
      <c r="O55" s="35">
        <f t="shared" si="18"/>
        <v>0</v>
      </c>
      <c r="P55" s="35">
        <f t="shared" si="18"/>
        <v>21</v>
      </c>
      <c r="Q55" s="35">
        <f t="shared" si="18"/>
        <v>5.88</v>
      </c>
      <c r="S55" s="49">
        <f>SUM(S4:S54)</f>
        <v>1628</v>
      </c>
      <c r="T55" s="49">
        <f>SUM(T4:T54)</f>
        <v>1628</v>
      </c>
      <c r="U55" s="49">
        <f>SUM(U4:U54)</f>
        <v>0</v>
      </c>
      <c r="W55" s="84">
        <f>+S55-G55</f>
        <v>1536.624</v>
      </c>
    </row>
    <row r="56" spans="2:23">
      <c r="H56" s="36">
        <f>+H55/$G$55</f>
        <v>0.1139905445631238</v>
      </c>
      <c r="I56" s="36"/>
      <c r="J56" s="36"/>
      <c r="K56" s="36">
        <f>+K55/$G$55</f>
        <v>0.56995272281561904</v>
      </c>
      <c r="L56" s="36"/>
      <c r="M56" s="36"/>
      <c r="N56" s="36">
        <f>+N55/$G$55</f>
        <v>0.22981964629662055</v>
      </c>
      <c r="O56" s="36"/>
      <c r="P56" s="36"/>
      <c r="Q56" s="36">
        <f>+Q55/$G$55</f>
        <v>6.4349500963053752E-2</v>
      </c>
    </row>
  </sheetData>
  <mergeCells count="38">
    <mergeCell ref="E2:F2"/>
    <mergeCell ref="B2:B3"/>
    <mergeCell ref="C2:C3"/>
    <mergeCell ref="D2:D3"/>
    <mergeCell ref="G2:G3"/>
    <mergeCell ref="H2:J2"/>
    <mergeCell ref="U25:U33"/>
    <mergeCell ref="S4:S19"/>
    <mergeCell ref="T4:T19"/>
    <mergeCell ref="S20:S24"/>
    <mergeCell ref="T20:T24"/>
    <mergeCell ref="S2:S3"/>
    <mergeCell ref="T2:T3"/>
    <mergeCell ref="U2:U3"/>
    <mergeCell ref="Q2:Q3"/>
    <mergeCell ref="K2:M2"/>
    <mergeCell ref="N2:P2"/>
    <mergeCell ref="W44:W54"/>
    <mergeCell ref="B44:B54"/>
    <mergeCell ref="B34:B43"/>
    <mergeCell ref="B4:B19"/>
    <mergeCell ref="B20:B24"/>
    <mergeCell ref="B25:B33"/>
    <mergeCell ref="U4:U19"/>
    <mergeCell ref="U20:U24"/>
    <mergeCell ref="S25:S33"/>
    <mergeCell ref="T25:T33"/>
    <mergeCell ref="S34:S43"/>
    <mergeCell ref="T34:T43"/>
    <mergeCell ref="S44:S54"/>
    <mergeCell ref="T44:T54"/>
    <mergeCell ref="U44:U54"/>
    <mergeCell ref="U34:U43"/>
    <mergeCell ref="W2:W3"/>
    <mergeCell ref="W4:W19"/>
    <mergeCell ref="W20:W24"/>
    <mergeCell ref="W25:W33"/>
    <mergeCell ref="W34:W43"/>
  </mergeCells>
  <pageMargins left="0.7" right="0.7" top="0.75" bottom="0.75" header="0.3" footer="0.3"/>
  <pageSetup paperSize="9" orientation="portrait"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Parámetros!$B$13:$B$23</xm:f>
          </x14:formula1>
          <xm:sqref>E4:E54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AA784"/>
  <sheetViews>
    <sheetView showGridLines="0" topLeftCell="K13" zoomScale="85" zoomScaleNormal="85" workbookViewId="0">
      <selection activeCell="Z6" sqref="Z6"/>
    </sheetView>
  </sheetViews>
  <sheetFormatPr baseColWidth="10" defaultRowHeight="12.75"/>
  <cols>
    <col min="1" max="1" width="42.85546875" customWidth="1"/>
    <col min="2" max="2" width="11.42578125" customWidth="1"/>
    <col min="3" max="3" width="9" customWidth="1"/>
    <col min="4" max="4" width="14.42578125" customWidth="1"/>
    <col min="10" max="20" width="11.42578125" customWidth="1"/>
    <col min="21" max="21" width="14.42578125" customWidth="1"/>
    <col min="22" max="22" width="14.7109375" customWidth="1"/>
    <col min="27" max="27" width="11.85546875" customWidth="1"/>
  </cols>
  <sheetData>
    <row r="1" spans="1:27" ht="18">
      <c r="A1" s="3" t="s">
        <v>6</v>
      </c>
      <c r="B1" s="1"/>
      <c r="C1" s="1"/>
      <c r="D1" s="1"/>
      <c r="J1" s="1"/>
      <c r="K1" s="1"/>
      <c r="L1" s="1"/>
      <c r="M1" s="1"/>
      <c r="N1" s="1"/>
      <c r="O1" s="1"/>
      <c r="P1" s="1"/>
      <c r="Q1" s="1"/>
      <c r="R1" s="1"/>
      <c r="S1" s="1"/>
      <c r="T1" s="1"/>
      <c r="U1" s="1"/>
    </row>
    <row r="2" spans="1:27" ht="15.75" thickBot="1">
      <c r="A2" s="2"/>
      <c r="B2" s="1"/>
      <c r="C2" s="1"/>
      <c r="D2" s="1"/>
      <c r="J2" s="62">
        <v>0.2</v>
      </c>
      <c r="K2" s="62"/>
      <c r="L2" s="1"/>
      <c r="M2" s="1"/>
      <c r="N2" s="1"/>
      <c r="O2" s="1"/>
      <c r="P2" s="1"/>
      <c r="Q2" s="62">
        <v>0.5</v>
      </c>
      <c r="R2" s="1"/>
      <c r="S2" s="1"/>
      <c r="T2" s="1"/>
      <c r="U2" s="62">
        <v>0.25</v>
      </c>
      <c r="Y2" s="63">
        <v>0.05</v>
      </c>
    </row>
    <row r="3" spans="1:27" ht="15.75" customHeight="1" thickBot="1">
      <c r="A3" s="143" t="s">
        <v>5</v>
      </c>
      <c r="B3" s="144"/>
      <c r="C3" s="141" t="s">
        <v>0</v>
      </c>
      <c r="D3" s="142"/>
      <c r="E3" s="136" t="s">
        <v>7</v>
      </c>
      <c r="F3" s="147" t="s">
        <v>15</v>
      </c>
      <c r="G3" s="147" t="s">
        <v>22</v>
      </c>
      <c r="H3" s="147" t="s">
        <v>24</v>
      </c>
      <c r="I3" s="147" t="s">
        <v>27</v>
      </c>
      <c r="J3" s="149" t="s">
        <v>13</v>
      </c>
      <c r="K3" s="150"/>
      <c r="L3" s="151"/>
      <c r="M3" s="151"/>
      <c r="N3" s="151"/>
      <c r="O3" s="152"/>
      <c r="P3" s="153" t="s">
        <v>16</v>
      </c>
      <c r="Q3" s="154"/>
      <c r="R3" s="154"/>
      <c r="S3" s="155"/>
      <c r="T3" s="156"/>
      <c r="U3" s="133" t="s">
        <v>18</v>
      </c>
      <c r="V3" s="134"/>
      <c r="W3" s="134"/>
      <c r="X3" s="135"/>
      <c r="Y3" s="138" t="s">
        <v>23</v>
      </c>
      <c r="Z3" s="139"/>
      <c r="AA3" s="140"/>
    </row>
    <row r="4" spans="1:27" ht="43.5" customHeight="1" thickBot="1">
      <c r="A4" s="145"/>
      <c r="B4" s="146"/>
      <c r="C4" s="26" t="s">
        <v>30</v>
      </c>
      <c r="D4" s="27" t="s">
        <v>28</v>
      </c>
      <c r="E4" s="137"/>
      <c r="F4" s="148"/>
      <c r="G4" s="148"/>
      <c r="H4" s="148"/>
      <c r="I4" s="148"/>
      <c r="J4" s="16" t="s">
        <v>11</v>
      </c>
      <c r="K4" s="67" t="s">
        <v>58</v>
      </c>
      <c r="L4" s="17" t="s">
        <v>9</v>
      </c>
      <c r="M4" s="18" t="s">
        <v>12</v>
      </c>
      <c r="N4" s="18" t="s">
        <v>14</v>
      </c>
      <c r="O4" s="19" t="s">
        <v>15</v>
      </c>
      <c r="P4" s="31" t="s">
        <v>59</v>
      </c>
      <c r="Q4" s="6" t="s">
        <v>37</v>
      </c>
      <c r="R4" s="6" t="s">
        <v>17</v>
      </c>
      <c r="S4" s="6" t="s">
        <v>10</v>
      </c>
      <c r="T4" s="11" t="s">
        <v>22</v>
      </c>
      <c r="U4" s="12" t="s">
        <v>19</v>
      </c>
      <c r="V4" s="7" t="s">
        <v>20</v>
      </c>
      <c r="W4" s="7" t="s">
        <v>21</v>
      </c>
      <c r="X4" s="13" t="s">
        <v>24</v>
      </c>
      <c r="Y4" s="14" t="s">
        <v>25</v>
      </c>
      <c r="Z4" s="8" t="s">
        <v>26</v>
      </c>
      <c r="AA4" s="15" t="s">
        <v>27</v>
      </c>
    </row>
    <row r="5" spans="1:27" ht="23.1" customHeight="1">
      <c r="A5" s="57"/>
      <c r="B5" s="58"/>
      <c r="C5" s="59"/>
      <c r="D5" s="60"/>
      <c r="E5" s="56"/>
      <c r="F5" s="61"/>
      <c r="G5" s="61"/>
      <c r="H5" s="61"/>
      <c r="I5" s="61"/>
      <c r="J5" s="64">
        <v>0.06</v>
      </c>
      <c r="K5" s="68">
        <v>0</v>
      </c>
      <c r="L5" s="65">
        <v>0.04</v>
      </c>
      <c r="M5" s="66">
        <v>0</v>
      </c>
      <c r="N5" s="66">
        <v>0</v>
      </c>
      <c r="O5" s="19"/>
      <c r="P5" s="69"/>
      <c r="Q5" s="71">
        <v>0.38</v>
      </c>
      <c r="R5" s="70">
        <v>0.08</v>
      </c>
      <c r="S5" s="70">
        <v>0.04</v>
      </c>
      <c r="T5" s="11"/>
      <c r="U5" s="74">
        <v>0.03</v>
      </c>
      <c r="V5" s="75">
        <v>0.2</v>
      </c>
      <c r="W5" s="75">
        <v>0.02</v>
      </c>
      <c r="X5" s="13"/>
      <c r="Y5" s="76">
        <v>0.03</v>
      </c>
      <c r="Z5" s="77">
        <v>0.04</v>
      </c>
      <c r="AA5" s="15"/>
    </row>
    <row r="6" spans="1:27" ht="58.5" customHeight="1">
      <c r="A6" s="158" t="s">
        <v>70</v>
      </c>
      <c r="B6" s="159"/>
      <c r="C6" s="10">
        <v>1</v>
      </c>
      <c r="D6" s="28" t="s">
        <v>65</v>
      </c>
      <c r="E6" s="42">
        <f t="shared" ref="E6:E11" si="0">+O6+T6+X6+AA6</f>
        <v>10.64</v>
      </c>
      <c r="F6" s="43">
        <f t="shared" ref="F6:F11" si="1">+O6</f>
        <v>1.24</v>
      </c>
      <c r="G6" s="43">
        <f t="shared" ref="G6:G11" si="2">+T6</f>
        <v>6.2</v>
      </c>
      <c r="H6" s="43">
        <f t="shared" ref="H6:H11" si="3">+X6</f>
        <v>2.5</v>
      </c>
      <c r="I6" s="43">
        <f t="shared" ref="I6:I11" si="4">+AA6</f>
        <v>0.7</v>
      </c>
      <c r="J6" s="52">
        <f t="shared" ref="J6:J15" si="5">+$J$5*$T6/$Q$2</f>
        <v>0.74399999999999999</v>
      </c>
      <c r="K6" s="52">
        <f>+$K$5*$T6/$Q$2</f>
        <v>0</v>
      </c>
      <c r="L6" s="52">
        <f>+$L$5*$T6/$Q$2</f>
        <v>0.49600000000000005</v>
      </c>
      <c r="M6" s="52">
        <f>+$M$5*$T6/$Q$2</f>
        <v>0</v>
      </c>
      <c r="N6" s="52">
        <f>+$N$5*$T6/$Q$2</f>
        <v>0</v>
      </c>
      <c r="O6" s="23">
        <f t="shared" ref="O6:O11" si="6">SUM(J6:N6)</f>
        <v>1.24</v>
      </c>
      <c r="P6" s="96">
        <v>5</v>
      </c>
      <c r="Q6" s="32">
        <f t="shared" ref="Q6:Q15" si="7">+P6*$S$17</f>
        <v>5</v>
      </c>
      <c r="R6" s="72">
        <f t="shared" ref="R6:R15" si="8">+Q6*$R$5/$Q$2</f>
        <v>0.8</v>
      </c>
      <c r="S6" s="54">
        <f>+Q6*$S$5/$Q$2</f>
        <v>0.4</v>
      </c>
      <c r="T6" s="24">
        <f t="shared" ref="T6:T11" si="9">SUM(Q6:S6)</f>
        <v>6.2</v>
      </c>
      <c r="U6" s="53">
        <f t="shared" ref="U6:U15" si="10">+$U$5*$Q6/$Q$2</f>
        <v>0.3</v>
      </c>
      <c r="V6" s="53">
        <f>+$V$5*$Q6/$Q$2</f>
        <v>2</v>
      </c>
      <c r="W6" s="53">
        <f>+$W$5*$Q6/$Q$2</f>
        <v>0.2</v>
      </c>
      <c r="X6" s="25">
        <f t="shared" ref="X6:X11" si="11">SUM(U6:W6)</f>
        <v>2.5</v>
      </c>
      <c r="Y6" s="78">
        <f>+$Y$5*$Q6/$Q$2</f>
        <v>0.3</v>
      </c>
      <c r="Z6" s="78">
        <f>+$Z$5*$Q6/$Q$2</f>
        <v>0.4</v>
      </c>
      <c r="AA6" s="55">
        <f t="shared" ref="AA6:AA11" si="12">SUM(Y6:Z6)</f>
        <v>0.7</v>
      </c>
    </row>
    <row r="7" spans="1:27" ht="73.5" customHeight="1">
      <c r="A7" s="158" t="s">
        <v>72</v>
      </c>
      <c r="B7" s="159"/>
      <c r="C7" s="86">
        <v>2</v>
      </c>
      <c r="D7" s="87" t="s">
        <v>1</v>
      </c>
      <c r="E7" s="42">
        <f t="shared" ref="E7" si="13">+O7+T7+X7+AA7</f>
        <v>14.896000000000003</v>
      </c>
      <c r="F7" s="43">
        <f t="shared" ref="F7" si="14">+O7</f>
        <v>1.7360000000000002</v>
      </c>
      <c r="G7" s="43">
        <f t="shared" ref="G7" si="15">+T7</f>
        <v>8.6800000000000015</v>
      </c>
      <c r="H7" s="43">
        <f t="shared" ref="H7" si="16">+X7</f>
        <v>3.5</v>
      </c>
      <c r="I7" s="43">
        <f t="shared" ref="I7" si="17">+AA7</f>
        <v>0.98</v>
      </c>
      <c r="J7" s="52">
        <f t="shared" si="5"/>
        <v>1.0416000000000001</v>
      </c>
      <c r="K7" s="52">
        <f>+$K$5*$T7/$Q$2</f>
        <v>0</v>
      </c>
      <c r="L7" s="52">
        <f>+$L$5*$T7/$Q$2</f>
        <v>0.69440000000000013</v>
      </c>
      <c r="M7" s="52">
        <f>+$M$5*$T7/$Q$2</f>
        <v>0</v>
      </c>
      <c r="N7" s="52">
        <f>+$N$5*$T7/$Q$2</f>
        <v>0</v>
      </c>
      <c r="O7" s="23">
        <f t="shared" ref="O7" si="18">SUM(J7:N7)</f>
        <v>1.7360000000000002</v>
      </c>
      <c r="P7" s="96">
        <v>7</v>
      </c>
      <c r="Q7" s="32">
        <f t="shared" si="7"/>
        <v>7</v>
      </c>
      <c r="R7" s="72">
        <f t="shared" si="8"/>
        <v>1.1200000000000001</v>
      </c>
      <c r="S7" s="54">
        <f t="shared" ref="S7:S15" si="19">+Q7*$S$5/$Q$2</f>
        <v>0.56000000000000005</v>
      </c>
      <c r="T7" s="24">
        <f t="shared" ref="T7" si="20">SUM(Q7:S7)</f>
        <v>8.6800000000000015</v>
      </c>
      <c r="U7" s="53">
        <f t="shared" si="10"/>
        <v>0.42</v>
      </c>
      <c r="V7" s="53">
        <f>+$V$5*$Q7/$Q$2</f>
        <v>2.8000000000000003</v>
      </c>
      <c r="W7" s="53">
        <f>+$W$5*$Q7/$Q$2</f>
        <v>0.28000000000000003</v>
      </c>
      <c r="X7" s="25">
        <f t="shared" ref="X7" si="21">SUM(U7:W7)</f>
        <v>3.5</v>
      </c>
      <c r="Y7" s="78">
        <f>+$Y$5*$Q7/$Q$2</f>
        <v>0.42</v>
      </c>
      <c r="Z7" s="78">
        <f>+$Z$5*$Q7/$Q$2</f>
        <v>0.56000000000000005</v>
      </c>
      <c r="AA7" s="55">
        <f t="shared" ref="AA7" si="22">SUM(Y7:Z7)</f>
        <v>0.98</v>
      </c>
    </row>
    <row r="8" spans="1:27" ht="81.599999999999994" customHeight="1">
      <c r="A8" s="158" t="s">
        <v>71</v>
      </c>
      <c r="B8" s="159"/>
      <c r="C8" s="10">
        <v>3</v>
      </c>
      <c r="D8" s="28" t="s">
        <v>66</v>
      </c>
      <c r="E8" s="42">
        <f t="shared" ref="E8" si="23">+O8+T8+X8+AA8</f>
        <v>21.28</v>
      </c>
      <c r="F8" s="43">
        <f t="shared" ref="F8" si="24">+O8</f>
        <v>2.48</v>
      </c>
      <c r="G8" s="43">
        <f t="shared" ref="G8" si="25">+T8</f>
        <v>12.4</v>
      </c>
      <c r="H8" s="43">
        <f t="shared" ref="H8" si="26">+X8</f>
        <v>5</v>
      </c>
      <c r="I8" s="43">
        <f t="shared" ref="I8" si="27">+AA8</f>
        <v>1.4</v>
      </c>
      <c r="J8" s="52">
        <f t="shared" si="5"/>
        <v>1.488</v>
      </c>
      <c r="K8" s="52">
        <f>+$K$5*$T8/$Q$2</f>
        <v>0</v>
      </c>
      <c r="L8" s="52">
        <f>+$L$5*$T8/$Q$2</f>
        <v>0.9920000000000001</v>
      </c>
      <c r="M8" s="52">
        <f>+$M$5*$T8/$Q$2</f>
        <v>0</v>
      </c>
      <c r="N8" s="52">
        <f>+$N$5*$T8/$Q$2</f>
        <v>0</v>
      </c>
      <c r="O8" s="23">
        <f t="shared" ref="O8" si="28">SUM(J8:N8)</f>
        <v>2.48</v>
      </c>
      <c r="P8" s="96">
        <v>10</v>
      </c>
      <c r="Q8" s="32">
        <f t="shared" si="7"/>
        <v>10</v>
      </c>
      <c r="R8" s="72">
        <f t="shared" si="8"/>
        <v>1.6</v>
      </c>
      <c r="S8" s="54">
        <f t="shared" si="19"/>
        <v>0.8</v>
      </c>
      <c r="T8" s="24">
        <f t="shared" ref="T8" si="29">SUM(Q8:S8)</f>
        <v>12.4</v>
      </c>
      <c r="U8" s="53">
        <f t="shared" si="10"/>
        <v>0.6</v>
      </c>
      <c r="V8" s="53">
        <f>+$V$5*$Q8/$Q$2</f>
        <v>4</v>
      </c>
      <c r="W8" s="53">
        <f>+$W$5*$Q8/$Q$2</f>
        <v>0.4</v>
      </c>
      <c r="X8" s="25">
        <f t="shared" ref="X8" si="30">SUM(U8:W8)</f>
        <v>5</v>
      </c>
      <c r="Y8" s="78">
        <f>+$Y$5*$Q8/$Q$2</f>
        <v>0.6</v>
      </c>
      <c r="Z8" s="78">
        <f>+$Z$5*$Q8/$Q$2</f>
        <v>0.8</v>
      </c>
      <c r="AA8" s="55">
        <f t="shared" ref="AA8" si="31">SUM(Y8:Z8)</f>
        <v>1.4</v>
      </c>
    </row>
    <row r="9" spans="1:27" ht="92.1" customHeight="1">
      <c r="A9" s="158" t="s">
        <v>73</v>
      </c>
      <c r="B9" s="159"/>
      <c r="C9" s="86">
        <v>4</v>
      </c>
      <c r="D9" s="87" t="s">
        <v>2</v>
      </c>
      <c r="E9" s="42">
        <f t="shared" si="0"/>
        <v>29.792000000000005</v>
      </c>
      <c r="F9" s="43">
        <f t="shared" si="1"/>
        <v>3.4720000000000004</v>
      </c>
      <c r="G9" s="43">
        <f t="shared" si="2"/>
        <v>17.360000000000003</v>
      </c>
      <c r="H9" s="43">
        <f t="shared" si="3"/>
        <v>7</v>
      </c>
      <c r="I9" s="43">
        <f t="shared" si="4"/>
        <v>1.96</v>
      </c>
      <c r="J9" s="52">
        <f t="shared" si="5"/>
        <v>2.0832000000000002</v>
      </c>
      <c r="K9" s="52">
        <f t="shared" ref="K9:K15" si="32">+$K$5*$T9/$Q$2</f>
        <v>0</v>
      </c>
      <c r="L9" s="52">
        <f t="shared" ref="L9:L15" si="33">+$L$5*$T9/$Q$2</f>
        <v>1.3888000000000003</v>
      </c>
      <c r="M9" s="52">
        <f t="shared" ref="M9:M15" si="34">+$M$5*$T9/$Q$2</f>
        <v>0</v>
      </c>
      <c r="N9" s="52">
        <f t="shared" ref="N9:N15" si="35">+$N$5*$T9/$Q$2</f>
        <v>0</v>
      </c>
      <c r="O9" s="23">
        <f t="shared" si="6"/>
        <v>3.4720000000000004</v>
      </c>
      <c r="P9" s="96">
        <v>14</v>
      </c>
      <c r="Q9" s="32">
        <f t="shared" si="7"/>
        <v>14</v>
      </c>
      <c r="R9" s="72">
        <f t="shared" si="8"/>
        <v>2.2400000000000002</v>
      </c>
      <c r="S9" s="54">
        <f t="shared" si="19"/>
        <v>1.1200000000000001</v>
      </c>
      <c r="T9" s="24">
        <f t="shared" si="9"/>
        <v>17.360000000000003</v>
      </c>
      <c r="U9" s="53">
        <f t="shared" si="10"/>
        <v>0.84</v>
      </c>
      <c r="V9" s="53">
        <f t="shared" ref="V9:V15" si="36">+$V$5*$Q9/$Q$2</f>
        <v>5.6000000000000005</v>
      </c>
      <c r="W9" s="53">
        <f t="shared" ref="W9:W15" si="37">+$W$5*$Q9/$Q$2</f>
        <v>0.56000000000000005</v>
      </c>
      <c r="X9" s="25">
        <f t="shared" si="11"/>
        <v>7</v>
      </c>
      <c r="Y9" s="78">
        <f t="shared" ref="Y9:Y15" si="38">+$Y$5*$Q9/$Q$2</f>
        <v>0.84</v>
      </c>
      <c r="Z9" s="78">
        <f t="shared" ref="Z9:Z15" si="39">+$Z$5*$Q9/$Q$2</f>
        <v>1.1200000000000001</v>
      </c>
      <c r="AA9" s="55">
        <f t="shared" si="12"/>
        <v>1.96</v>
      </c>
    </row>
    <row r="10" spans="1:27" ht="89.1" customHeight="1">
      <c r="A10" s="158" t="s">
        <v>74</v>
      </c>
      <c r="B10" s="159"/>
      <c r="C10" s="10">
        <v>5</v>
      </c>
      <c r="D10" s="28" t="s">
        <v>67</v>
      </c>
      <c r="E10" s="42">
        <f t="shared" ref="E10" si="40">+O10+T10+X10+AA10</f>
        <v>38.304000000000002</v>
      </c>
      <c r="F10" s="43">
        <f t="shared" ref="F10" si="41">+O10</f>
        <v>4.4640000000000004</v>
      </c>
      <c r="G10" s="43">
        <f t="shared" ref="G10" si="42">+T10</f>
        <v>22.32</v>
      </c>
      <c r="H10" s="43">
        <f t="shared" ref="H10" si="43">+X10</f>
        <v>9.0000000000000018</v>
      </c>
      <c r="I10" s="43">
        <f t="shared" ref="I10" si="44">+AA10</f>
        <v>2.52</v>
      </c>
      <c r="J10" s="52">
        <f t="shared" si="5"/>
        <v>2.6783999999999999</v>
      </c>
      <c r="K10" s="52">
        <f t="shared" si="32"/>
        <v>0</v>
      </c>
      <c r="L10" s="52">
        <f t="shared" si="33"/>
        <v>1.7856000000000001</v>
      </c>
      <c r="M10" s="52">
        <f t="shared" si="34"/>
        <v>0</v>
      </c>
      <c r="N10" s="52">
        <f t="shared" si="35"/>
        <v>0</v>
      </c>
      <c r="O10" s="23">
        <f t="shared" ref="O10" si="45">SUM(J10:N10)</f>
        <v>4.4640000000000004</v>
      </c>
      <c r="P10" s="96">
        <v>18</v>
      </c>
      <c r="Q10" s="32">
        <f t="shared" si="7"/>
        <v>18</v>
      </c>
      <c r="R10" s="72">
        <f t="shared" si="8"/>
        <v>2.88</v>
      </c>
      <c r="S10" s="54">
        <f t="shared" si="19"/>
        <v>1.44</v>
      </c>
      <c r="T10" s="24">
        <f t="shared" ref="T10" si="46">SUM(Q10:S10)</f>
        <v>22.32</v>
      </c>
      <c r="U10" s="53">
        <f t="shared" si="10"/>
        <v>1.08</v>
      </c>
      <c r="V10" s="53">
        <f t="shared" si="36"/>
        <v>7.2</v>
      </c>
      <c r="W10" s="53">
        <f t="shared" si="37"/>
        <v>0.72</v>
      </c>
      <c r="X10" s="25">
        <f t="shared" ref="X10" si="47">SUM(U10:W10)</f>
        <v>9.0000000000000018</v>
      </c>
      <c r="Y10" s="78">
        <f t="shared" si="38"/>
        <v>1.08</v>
      </c>
      <c r="Z10" s="78">
        <f t="shared" si="39"/>
        <v>1.44</v>
      </c>
      <c r="AA10" s="55">
        <f t="shared" ref="AA10" si="48">SUM(Y10:Z10)</f>
        <v>2.52</v>
      </c>
    </row>
    <row r="11" spans="1:27" ht="57" customHeight="1">
      <c r="A11" s="158" t="s">
        <v>75</v>
      </c>
      <c r="B11" s="159"/>
      <c r="C11" s="86">
        <v>6</v>
      </c>
      <c r="D11" s="87" t="s">
        <v>3</v>
      </c>
      <c r="E11" s="42">
        <f t="shared" si="0"/>
        <v>46.816000000000003</v>
      </c>
      <c r="F11" s="43">
        <f t="shared" si="1"/>
        <v>5.4560000000000004</v>
      </c>
      <c r="G11" s="43">
        <f t="shared" si="2"/>
        <v>27.28</v>
      </c>
      <c r="H11" s="43">
        <f t="shared" si="3"/>
        <v>11.000000000000002</v>
      </c>
      <c r="I11" s="43">
        <f t="shared" si="4"/>
        <v>3.08</v>
      </c>
      <c r="J11" s="52">
        <f t="shared" si="5"/>
        <v>3.2736000000000001</v>
      </c>
      <c r="K11" s="52">
        <f t="shared" si="32"/>
        <v>0</v>
      </c>
      <c r="L11" s="52">
        <f t="shared" si="33"/>
        <v>2.1824000000000003</v>
      </c>
      <c r="M11" s="52">
        <f t="shared" si="34"/>
        <v>0</v>
      </c>
      <c r="N11" s="52">
        <f t="shared" si="35"/>
        <v>0</v>
      </c>
      <c r="O11" s="23">
        <f t="shared" si="6"/>
        <v>5.4560000000000004</v>
      </c>
      <c r="P11" s="96">
        <v>22</v>
      </c>
      <c r="Q11" s="32">
        <f t="shared" si="7"/>
        <v>22</v>
      </c>
      <c r="R11" s="72">
        <f t="shared" si="8"/>
        <v>3.52</v>
      </c>
      <c r="S11" s="54">
        <f t="shared" si="19"/>
        <v>1.76</v>
      </c>
      <c r="T11" s="24">
        <f t="shared" si="9"/>
        <v>27.28</v>
      </c>
      <c r="U11" s="53">
        <f t="shared" si="10"/>
        <v>1.3199999999999998</v>
      </c>
      <c r="V11" s="53">
        <f t="shared" si="36"/>
        <v>8.8000000000000007</v>
      </c>
      <c r="W11" s="53">
        <f t="shared" si="37"/>
        <v>0.88</v>
      </c>
      <c r="X11" s="25">
        <f t="shared" si="11"/>
        <v>11.000000000000002</v>
      </c>
      <c r="Y11" s="78">
        <f t="shared" si="38"/>
        <v>1.3199999999999998</v>
      </c>
      <c r="Z11" s="78">
        <f t="shared" si="39"/>
        <v>1.76</v>
      </c>
      <c r="AA11" s="55">
        <f t="shared" si="12"/>
        <v>3.08</v>
      </c>
    </row>
    <row r="12" spans="1:27" ht="66" customHeight="1">
      <c r="A12" s="158" t="s">
        <v>91</v>
      </c>
      <c r="B12" s="159"/>
      <c r="C12" s="86">
        <v>7</v>
      </c>
      <c r="D12" s="87" t="s">
        <v>68</v>
      </c>
      <c r="E12" s="42">
        <f t="shared" ref="E12:E15" si="49">+O12+T12+X12+AA12</f>
        <v>63.839999999999989</v>
      </c>
      <c r="F12" s="43">
        <f t="shared" ref="F12:F15" si="50">+O12</f>
        <v>7.4399999999999995</v>
      </c>
      <c r="G12" s="43">
        <f t="shared" ref="G12:G15" si="51">+T12</f>
        <v>37.199999999999996</v>
      </c>
      <c r="H12" s="43">
        <f t="shared" ref="H12:H15" si="52">+X12</f>
        <v>15</v>
      </c>
      <c r="I12" s="43">
        <f t="shared" ref="I12:I15" si="53">+AA12</f>
        <v>4.1999999999999993</v>
      </c>
      <c r="J12" s="52">
        <f t="shared" si="5"/>
        <v>4.4639999999999995</v>
      </c>
      <c r="K12" s="52">
        <f t="shared" si="32"/>
        <v>0</v>
      </c>
      <c r="L12" s="52">
        <f t="shared" si="33"/>
        <v>2.9759999999999995</v>
      </c>
      <c r="M12" s="52">
        <f t="shared" si="34"/>
        <v>0</v>
      </c>
      <c r="N12" s="52">
        <f t="shared" si="35"/>
        <v>0</v>
      </c>
      <c r="O12" s="23">
        <f t="shared" ref="O12:O15" si="54">SUM(J12:N12)</f>
        <v>7.4399999999999995</v>
      </c>
      <c r="P12" s="73">
        <v>30</v>
      </c>
      <c r="Q12" s="32">
        <f t="shared" si="7"/>
        <v>30</v>
      </c>
      <c r="R12" s="72">
        <f t="shared" si="8"/>
        <v>4.8</v>
      </c>
      <c r="S12" s="54">
        <f t="shared" si="19"/>
        <v>2.4</v>
      </c>
      <c r="T12" s="24">
        <f t="shared" ref="T12:T15" si="55">SUM(Q12:S12)</f>
        <v>37.199999999999996</v>
      </c>
      <c r="U12" s="53">
        <f t="shared" si="10"/>
        <v>1.7999999999999998</v>
      </c>
      <c r="V12" s="53">
        <f t="shared" si="36"/>
        <v>12</v>
      </c>
      <c r="W12" s="53">
        <f t="shared" si="37"/>
        <v>1.2</v>
      </c>
      <c r="X12" s="25">
        <f t="shared" ref="X12:X15" si="56">SUM(U12:W12)</f>
        <v>15</v>
      </c>
      <c r="Y12" s="78">
        <f t="shared" si="38"/>
        <v>1.7999999999999998</v>
      </c>
      <c r="Z12" s="78">
        <f t="shared" si="39"/>
        <v>2.4</v>
      </c>
      <c r="AA12" s="55">
        <f t="shared" ref="AA12:AA15" si="57">SUM(Y12:Z12)</f>
        <v>4.1999999999999993</v>
      </c>
    </row>
    <row r="13" spans="1:27" ht="66" customHeight="1">
      <c r="A13" s="158" t="s">
        <v>92</v>
      </c>
      <c r="B13" s="159"/>
      <c r="C13" s="10">
        <v>8</v>
      </c>
      <c r="D13" s="87" t="s">
        <v>4</v>
      </c>
      <c r="E13" s="42">
        <f t="shared" ref="E13:E14" si="58">+O13+T13+X13+AA13</f>
        <v>85.12</v>
      </c>
      <c r="F13" s="43">
        <f t="shared" ref="F13:F14" si="59">+O13</f>
        <v>9.92</v>
      </c>
      <c r="G13" s="43">
        <f t="shared" ref="G13:G14" si="60">+T13</f>
        <v>49.6</v>
      </c>
      <c r="H13" s="43">
        <f t="shared" ref="H13:H14" si="61">+X13</f>
        <v>20</v>
      </c>
      <c r="I13" s="43">
        <f t="shared" ref="I13:I14" si="62">+AA13</f>
        <v>5.6</v>
      </c>
      <c r="J13" s="52">
        <f t="shared" si="5"/>
        <v>5.952</v>
      </c>
      <c r="K13" s="52">
        <f t="shared" si="32"/>
        <v>0</v>
      </c>
      <c r="L13" s="52">
        <f t="shared" si="33"/>
        <v>3.9680000000000004</v>
      </c>
      <c r="M13" s="52">
        <f t="shared" si="34"/>
        <v>0</v>
      </c>
      <c r="N13" s="52">
        <f t="shared" si="35"/>
        <v>0</v>
      </c>
      <c r="O13" s="23">
        <f t="shared" ref="O13:O14" si="63">SUM(J13:N13)</f>
        <v>9.92</v>
      </c>
      <c r="P13" s="73">
        <v>40</v>
      </c>
      <c r="Q13" s="32">
        <f t="shared" ref="Q13:Q14" si="64">+P13*$S$17</f>
        <v>40</v>
      </c>
      <c r="R13" s="72">
        <f t="shared" ref="R13:R14" si="65">+Q13*$R$5/$Q$2</f>
        <v>6.4</v>
      </c>
      <c r="S13" s="54">
        <f t="shared" ref="S13:S14" si="66">+Q13*$S$5/$Q$2</f>
        <v>3.2</v>
      </c>
      <c r="T13" s="24">
        <f t="shared" ref="T13:T14" si="67">SUM(Q13:S13)</f>
        <v>49.6</v>
      </c>
      <c r="U13" s="53">
        <f t="shared" si="10"/>
        <v>2.4</v>
      </c>
      <c r="V13" s="53">
        <f t="shared" si="36"/>
        <v>16</v>
      </c>
      <c r="W13" s="53">
        <f t="shared" si="37"/>
        <v>1.6</v>
      </c>
      <c r="X13" s="25">
        <f t="shared" ref="X13:X14" si="68">SUM(U13:W13)</f>
        <v>20</v>
      </c>
      <c r="Y13" s="78">
        <f t="shared" si="38"/>
        <v>2.4</v>
      </c>
      <c r="Z13" s="78">
        <f t="shared" si="39"/>
        <v>3.2</v>
      </c>
      <c r="AA13" s="55">
        <f t="shared" ref="AA13:AA14" si="69">SUM(Y13:Z13)</f>
        <v>5.6</v>
      </c>
    </row>
    <row r="14" spans="1:27" ht="110.25" customHeight="1">
      <c r="A14" s="158" t="s">
        <v>93</v>
      </c>
      <c r="B14" s="159"/>
      <c r="C14" s="10">
        <v>9</v>
      </c>
      <c r="D14" s="87" t="s">
        <v>84</v>
      </c>
      <c r="E14" s="42">
        <f t="shared" si="58"/>
        <v>106.4</v>
      </c>
      <c r="F14" s="43">
        <f t="shared" si="59"/>
        <v>12.399999999999999</v>
      </c>
      <c r="G14" s="43">
        <f t="shared" si="60"/>
        <v>62</v>
      </c>
      <c r="H14" s="43">
        <f t="shared" si="61"/>
        <v>25</v>
      </c>
      <c r="I14" s="43">
        <f t="shared" si="62"/>
        <v>7</v>
      </c>
      <c r="J14" s="52">
        <f t="shared" si="5"/>
        <v>7.4399999999999995</v>
      </c>
      <c r="K14" s="52">
        <f t="shared" si="32"/>
        <v>0</v>
      </c>
      <c r="L14" s="52">
        <f t="shared" si="33"/>
        <v>4.96</v>
      </c>
      <c r="M14" s="52">
        <f t="shared" si="34"/>
        <v>0</v>
      </c>
      <c r="N14" s="52">
        <f t="shared" si="35"/>
        <v>0</v>
      </c>
      <c r="O14" s="23">
        <f t="shared" si="63"/>
        <v>12.399999999999999</v>
      </c>
      <c r="P14" s="73">
        <v>50</v>
      </c>
      <c r="Q14" s="32">
        <f t="shared" si="64"/>
        <v>50</v>
      </c>
      <c r="R14" s="72">
        <f t="shared" si="65"/>
        <v>8</v>
      </c>
      <c r="S14" s="54">
        <f t="shared" si="66"/>
        <v>4</v>
      </c>
      <c r="T14" s="24">
        <f t="shared" si="67"/>
        <v>62</v>
      </c>
      <c r="U14" s="53">
        <f t="shared" si="10"/>
        <v>3</v>
      </c>
      <c r="V14" s="53">
        <f t="shared" si="36"/>
        <v>20</v>
      </c>
      <c r="W14" s="53">
        <f t="shared" si="37"/>
        <v>2</v>
      </c>
      <c r="X14" s="25">
        <f t="shared" si="68"/>
        <v>25</v>
      </c>
      <c r="Y14" s="78">
        <f t="shared" si="38"/>
        <v>3</v>
      </c>
      <c r="Z14" s="78">
        <f t="shared" si="39"/>
        <v>4</v>
      </c>
      <c r="AA14" s="55">
        <f t="shared" si="69"/>
        <v>7</v>
      </c>
    </row>
    <row r="15" spans="1:27" ht="151.5" customHeight="1">
      <c r="A15" s="158" t="s">
        <v>94</v>
      </c>
      <c r="B15" s="159"/>
      <c r="C15" s="10">
        <v>10</v>
      </c>
      <c r="D15" s="87" t="s">
        <v>85</v>
      </c>
      <c r="E15" s="42">
        <f t="shared" si="49"/>
        <v>127.67999999999998</v>
      </c>
      <c r="F15" s="43">
        <f t="shared" si="50"/>
        <v>14.879999999999999</v>
      </c>
      <c r="G15" s="43">
        <f t="shared" si="51"/>
        <v>74.399999999999991</v>
      </c>
      <c r="H15" s="43">
        <f t="shared" si="52"/>
        <v>30</v>
      </c>
      <c r="I15" s="43">
        <f t="shared" si="53"/>
        <v>8.3999999999999986</v>
      </c>
      <c r="J15" s="52">
        <f t="shared" si="5"/>
        <v>8.927999999999999</v>
      </c>
      <c r="K15" s="52">
        <f t="shared" si="32"/>
        <v>0</v>
      </c>
      <c r="L15" s="52">
        <f t="shared" si="33"/>
        <v>5.9519999999999991</v>
      </c>
      <c r="M15" s="52">
        <f t="shared" si="34"/>
        <v>0</v>
      </c>
      <c r="N15" s="52">
        <f t="shared" si="35"/>
        <v>0</v>
      </c>
      <c r="O15" s="23">
        <f t="shared" si="54"/>
        <v>14.879999999999999</v>
      </c>
      <c r="P15" s="73">
        <v>60</v>
      </c>
      <c r="Q15" s="32">
        <f t="shared" si="7"/>
        <v>60</v>
      </c>
      <c r="R15" s="72">
        <f t="shared" si="8"/>
        <v>9.6</v>
      </c>
      <c r="S15" s="54">
        <f t="shared" si="19"/>
        <v>4.8</v>
      </c>
      <c r="T15" s="24">
        <f t="shared" si="55"/>
        <v>74.399999999999991</v>
      </c>
      <c r="U15" s="53">
        <f t="shared" si="10"/>
        <v>3.5999999999999996</v>
      </c>
      <c r="V15" s="53">
        <f t="shared" si="36"/>
        <v>24</v>
      </c>
      <c r="W15" s="53">
        <f t="shared" si="37"/>
        <v>2.4</v>
      </c>
      <c r="X15" s="25">
        <f t="shared" si="56"/>
        <v>30</v>
      </c>
      <c r="Y15" s="78">
        <f t="shared" si="38"/>
        <v>3.5999999999999996</v>
      </c>
      <c r="Z15" s="78">
        <f t="shared" si="39"/>
        <v>4.8</v>
      </c>
      <c r="AA15" s="55">
        <f t="shared" si="57"/>
        <v>8.3999999999999986</v>
      </c>
    </row>
    <row r="17" spans="16:19">
      <c r="P17" s="157" t="s">
        <v>36</v>
      </c>
      <c r="Q17" s="157"/>
      <c r="R17" s="40" t="s">
        <v>69</v>
      </c>
      <c r="S17" s="41">
        <f>VLOOKUP(R17,Parámetros!$B$4:$C$10,2,FALSE)</f>
        <v>1</v>
      </c>
    </row>
    <row r="110" spans="17:21">
      <c r="Q110" s="4">
        <v>8</v>
      </c>
    </row>
    <row r="111" spans="17:21">
      <c r="Q111" s="4">
        <v>40</v>
      </c>
      <c r="U111">
        <f>6000+300+630</f>
        <v>6930</v>
      </c>
    </row>
    <row r="112" spans="17:21">
      <c r="Q112" s="4">
        <v>16</v>
      </c>
    </row>
    <row r="113" spans="17:17">
      <c r="Q113" s="4">
        <v>16</v>
      </c>
    </row>
    <row r="114" spans="17:17">
      <c r="Q114" s="4">
        <v>32</v>
      </c>
    </row>
    <row r="115" spans="17:17">
      <c r="Q115" s="4">
        <v>15</v>
      </c>
    </row>
    <row r="116" spans="17:17">
      <c r="Q116" s="4">
        <v>20</v>
      </c>
    </row>
    <row r="117" spans="17:17">
      <c r="Q117" s="4">
        <v>20</v>
      </c>
    </row>
    <row r="118" spans="17:17">
      <c r="Q118" s="4">
        <v>7.5</v>
      </c>
    </row>
    <row r="119" spans="17:17">
      <c r="Q119" s="4">
        <v>40</v>
      </c>
    </row>
    <row r="120" spans="17:17">
      <c r="Q120" s="4">
        <v>20</v>
      </c>
    </row>
    <row r="121" spans="17:17">
      <c r="Q121" s="4">
        <v>25</v>
      </c>
    </row>
    <row r="122" spans="17:17">
      <c r="Q122" s="4">
        <v>15</v>
      </c>
    </row>
    <row r="123" spans="17:17">
      <c r="Q123" s="4">
        <v>20</v>
      </c>
    </row>
    <row r="124" spans="17:17">
      <c r="Q124" s="4">
        <v>16</v>
      </c>
    </row>
    <row r="125" spans="17:17">
      <c r="Q125" s="4">
        <v>0</v>
      </c>
    </row>
    <row r="126" spans="17:17">
      <c r="Q126" s="4">
        <v>0</v>
      </c>
    </row>
    <row r="127" spans="17:17">
      <c r="Q127" s="4">
        <v>1.5</v>
      </c>
    </row>
    <row r="128" spans="17:17">
      <c r="Q128" s="4">
        <v>4</v>
      </c>
    </row>
    <row r="129" spans="17:17">
      <c r="Q129" s="4">
        <v>7</v>
      </c>
    </row>
    <row r="130" spans="17:17">
      <c r="Q130" s="4">
        <v>4</v>
      </c>
    </row>
    <row r="131" spans="17:17">
      <c r="Q131" s="4">
        <v>4</v>
      </c>
    </row>
    <row r="132" spans="17:17">
      <c r="Q132" s="4">
        <v>2.5</v>
      </c>
    </row>
    <row r="133" spans="17:17">
      <c r="Q133" s="4">
        <v>4</v>
      </c>
    </row>
    <row r="134" spans="17:17">
      <c r="Q134" s="4">
        <v>1.5</v>
      </c>
    </row>
    <row r="135" spans="17:17">
      <c r="Q135" s="4">
        <v>1.5</v>
      </c>
    </row>
    <row r="136" spans="17:17">
      <c r="Q136" s="4">
        <v>2.5</v>
      </c>
    </row>
    <row r="137" spans="17:17">
      <c r="Q137" s="4">
        <v>4</v>
      </c>
    </row>
    <row r="138" spans="17:17">
      <c r="Q138" s="4">
        <v>2.5</v>
      </c>
    </row>
    <row r="139" spans="17:17">
      <c r="Q139" s="4">
        <v>11.5</v>
      </c>
    </row>
    <row r="140" spans="17:17">
      <c r="Q140" s="4">
        <v>7</v>
      </c>
    </row>
    <row r="141" spans="17:17">
      <c r="Q141" s="4">
        <v>11.5</v>
      </c>
    </row>
    <row r="142" spans="17:17">
      <c r="Q142" s="4">
        <v>2.5</v>
      </c>
    </row>
    <row r="143" spans="17:17">
      <c r="Q143" s="4">
        <v>7</v>
      </c>
    </row>
    <row r="144" spans="17:17">
      <c r="Q144" s="4">
        <v>4</v>
      </c>
    </row>
    <row r="145" spans="17:17">
      <c r="Q145" s="4">
        <v>2.5</v>
      </c>
    </row>
    <row r="146" spans="17:17">
      <c r="Q146" s="4">
        <v>2.5</v>
      </c>
    </row>
    <row r="147" spans="17:17">
      <c r="Q147" s="4">
        <v>1.5</v>
      </c>
    </row>
    <row r="148" spans="17:17">
      <c r="Q148" s="4">
        <v>16</v>
      </c>
    </row>
    <row r="149" spans="17:17">
      <c r="Q149" s="4">
        <v>1.5</v>
      </c>
    </row>
    <row r="150" spans="17:17">
      <c r="Q150" s="4">
        <v>1.5</v>
      </c>
    </row>
    <row r="151" spans="17:17">
      <c r="Q151" s="4">
        <v>7</v>
      </c>
    </row>
    <row r="152" spans="17:17">
      <c r="Q152" s="4">
        <v>7</v>
      </c>
    </row>
    <row r="153" spans="17:17">
      <c r="Q153" s="4">
        <v>7</v>
      </c>
    </row>
    <row r="154" spans="17:17">
      <c r="Q154" s="4">
        <v>1.5</v>
      </c>
    </row>
    <row r="155" spans="17:17">
      <c r="Q155" s="4">
        <v>1.5</v>
      </c>
    </row>
    <row r="156" spans="17:17">
      <c r="Q156" s="4">
        <v>7</v>
      </c>
    </row>
    <row r="157" spans="17:17">
      <c r="Q157" s="4">
        <v>11.5</v>
      </c>
    </row>
    <row r="158" spans="17:17">
      <c r="Q158" s="4">
        <v>1.5</v>
      </c>
    </row>
    <row r="159" spans="17:17">
      <c r="Q159" s="4">
        <v>4</v>
      </c>
    </row>
    <row r="160" spans="17:17">
      <c r="Q160" s="4">
        <v>4</v>
      </c>
    </row>
    <row r="161" spans="17:17">
      <c r="Q161" s="4">
        <v>7</v>
      </c>
    </row>
    <row r="162" spans="17:17">
      <c r="Q162" s="4">
        <v>7</v>
      </c>
    </row>
    <row r="163" spans="17:17">
      <c r="Q163" s="4">
        <v>4</v>
      </c>
    </row>
    <row r="164" spans="17:17">
      <c r="Q164" s="4">
        <v>7</v>
      </c>
    </row>
    <row r="165" spans="17:17">
      <c r="Q165" s="4">
        <v>1.5</v>
      </c>
    </row>
    <row r="166" spans="17:17">
      <c r="Q166" s="4">
        <v>2.5</v>
      </c>
    </row>
    <row r="167" spans="17:17">
      <c r="Q167" s="4">
        <v>4</v>
      </c>
    </row>
    <row r="168" spans="17:17">
      <c r="Q168" s="4">
        <v>2.5</v>
      </c>
    </row>
    <row r="169" spans="17:17">
      <c r="Q169" s="4">
        <v>2.5</v>
      </c>
    </row>
    <row r="170" spans="17:17">
      <c r="Q170" s="4">
        <v>2.5</v>
      </c>
    </row>
    <row r="171" spans="17:17">
      <c r="Q171" s="4">
        <v>2.5</v>
      </c>
    </row>
    <row r="172" spans="17:17">
      <c r="Q172" s="4">
        <v>2.5</v>
      </c>
    </row>
    <row r="173" spans="17:17">
      <c r="Q173" s="4">
        <v>2.5</v>
      </c>
    </row>
    <row r="174" spans="17:17">
      <c r="Q174" s="4">
        <v>2.5</v>
      </c>
    </row>
    <row r="175" spans="17:17">
      <c r="Q175" s="4">
        <v>2.5</v>
      </c>
    </row>
    <row r="176" spans="17:17">
      <c r="Q176" s="4">
        <v>1.5</v>
      </c>
    </row>
    <row r="177" spans="17:17">
      <c r="Q177" s="4">
        <v>2.5</v>
      </c>
    </row>
    <row r="178" spans="17:17">
      <c r="Q178" s="4">
        <v>2.5</v>
      </c>
    </row>
    <row r="179" spans="17:17">
      <c r="Q179" s="4">
        <v>1.5</v>
      </c>
    </row>
    <row r="180" spans="17:17">
      <c r="Q180" s="4">
        <v>4</v>
      </c>
    </row>
    <row r="181" spans="17:17">
      <c r="Q181" s="4">
        <v>4</v>
      </c>
    </row>
    <row r="182" spans="17:17">
      <c r="Q182" s="4">
        <v>16</v>
      </c>
    </row>
    <row r="183" spans="17:17">
      <c r="Q183" s="4">
        <v>11</v>
      </c>
    </row>
    <row r="184" spans="17:17">
      <c r="Q184" s="4">
        <v>4</v>
      </c>
    </row>
    <row r="185" spans="17:17">
      <c r="Q185" s="4">
        <v>4</v>
      </c>
    </row>
    <row r="186" spans="17:17">
      <c r="Q186" s="4">
        <v>16</v>
      </c>
    </row>
    <row r="187" spans="17:17">
      <c r="Q187" s="4">
        <v>4</v>
      </c>
    </row>
    <row r="188" spans="17:17">
      <c r="Q188" s="4">
        <v>16</v>
      </c>
    </row>
    <row r="189" spans="17:17">
      <c r="Q189" s="4">
        <v>4</v>
      </c>
    </row>
    <row r="190" spans="17:17">
      <c r="Q190" s="4">
        <v>16</v>
      </c>
    </row>
    <row r="191" spans="17:17">
      <c r="Q191" s="4">
        <v>4</v>
      </c>
    </row>
    <row r="192" spans="17:17">
      <c r="Q192" s="4">
        <v>4</v>
      </c>
    </row>
    <row r="193" spans="17:17">
      <c r="Q193" s="4">
        <v>4</v>
      </c>
    </row>
    <row r="194" spans="17:17">
      <c r="Q194" s="4">
        <v>1.5</v>
      </c>
    </row>
    <row r="195" spans="17:17">
      <c r="Q195" s="4">
        <v>4</v>
      </c>
    </row>
    <row r="196" spans="17:17">
      <c r="Q196" s="4">
        <v>11</v>
      </c>
    </row>
    <row r="197" spans="17:17">
      <c r="Q197" s="4">
        <v>4</v>
      </c>
    </row>
    <row r="198" spans="17:17">
      <c r="Q198" s="4">
        <v>16</v>
      </c>
    </row>
    <row r="199" spans="17:17">
      <c r="Q199" s="4">
        <v>4</v>
      </c>
    </row>
    <row r="200" spans="17:17">
      <c r="Q200" s="4">
        <v>11</v>
      </c>
    </row>
    <row r="201" spans="17:17">
      <c r="Q201" s="4">
        <v>4</v>
      </c>
    </row>
    <row r="202" spans="17:17">
      <c r="Q202" s="4">
        <v>4</v>
      </c>
    </row>
    <row r="203" spans="17:17">
      <c r="Q203" s="4">
        <v>2.5</v>
      </c>
    </row>
    <row r="204" spans="17:17">
      <c r="Q204" s="4">
        <v>11</v>
      </c>
    </row>
    <row r="205" spans="17:17">
      <c r="Q205" s="4">
        <v>4</v>
      </c>
    </row>
    <row r="206" spans="17:17">
      <c r="Q206" s="4">
        <v>4</v>
      </c>
    </row>
    <row r="207" spans="17:17">
      <c r="Q207" s="4">
        <v>11</v>
      </c>
    </row>
    <row r="208" spans="17:17">
      <c r="Q208" s="4">
        <v>4</v>
      </c>
    </row>
    <row r="209" spans="17:17">
      <c r="Q209" s="4">
        <v>4</v>
      </c>
    </row>
    <row r="210" spans="17:17">
      <c r="Q210" s="4">
        <v>4</v>
      </c>
    </row>
    <row r="211" spans="17:17">
      <c r="Q211" s="4">
        <v>4</v>
      </c>
    </row>
    <row r="212" spans="17:17">
      <c r="Q212" s="4">
        <v>4</v>
      </c>
    </row>
    <row r="213" spans="17:17">
      <c r="Q213" s="4">
        <v>11</v>
      </c>
    </row>
    <row r="214" spans="17:17">
      <c r="Q214" s="4">
        <v>11</v>
      </c>
    </row>
    <row r="215" spans="17:17">
      <c r="Q215" s="4">
        <v>4</v>
      </c>
    </row>
    <row r="216" spans="17:17">
      <c r="Q216" s="4">
        <v>4</v>
      </c>
    </row>
    <row r="217" spans="17:17">
      <c r="Q217" s="4">
        <v>4</v>
      </c>
    </row>
    <row r="218" spans="17:17">
      <c r="Q218" s="4">
        <v>4</v>
      </c>
    </row>
    <row r="219" spans="17:17">
      <c r="Q219" s="4">
        <v>4</v>
      </c>
    </row>
    <row r="220" spans="17:17">
      <c r="Q220" s="4">
        <v>11</v>
      </c>
    </row>
    <row r="221" spans="17:17">
      <c r="Q221" s="4">
        <v>11</v>
      </c>
    </row>
    <row r="222" spans="17:17">
      <c r="Q222" s="4">
        <v>1.5</v>
      </c>
    </row>
    <row r="223" spans="17:17">
      <c r="Q223" s="4">
        <v>4</v>
      </c>
    </row>
    <row r="224" spans="17:17">
      <c r="Q224" s="4">
        <v>2.5</v>
      </c>
    </row>
    <row r="225" spans="17:17">
      <c r="Q225" s="4">
        <v>1.5</v>
      </c>
    </row>
    <row r="226" spans="17:17">
      <c r="Q226" s="4">
        <v>4</v>
      </c>
    </row>
    <row r="227" spans="17:17">
      <c r="Q227" s="4">
        <v>12</v>
      </c>
    </row>
    <row r="228" spans="17:17">
      <c r="Q228" s="4">
        <v>7</v>
      </c>
    </row>
    <row r="229" spans="17:17">
      <c r="Q229" s="4">
        <v>3</v>
      </c>
    </row>
    <row r="230" spans="17:17">
      <c r="Q230" s="4">
        <v>12</v>
      </c>
    </row>
    <row r="231" spans="17:17">
      <c r="Q231" s="4">
        <v>7</v>
      </c>
    </row>
    <row r="232" spans="17:17">
      <c r="Q232" s="4">
        <v>8</v>
      </c>
    </row>
    <row r="233" spans="17:17">
      <c r="Q233" s="4">
        <v>4</v>
      </c>
    </row>
    <row r="234" spans="17:17">
      <c r="Q234" s="4">
        <v>2</v>
      </c>
    </row>
    <row r="235" spans="17:17">
      <c r="Q235" s="4">
        <v>4</v>
      </c>
    </row>
    <row r="236" spans="17:17">
      <c r="Q236" s="4">
        <v>12</v>
      </c>
    </row>
    <row r="237" spans="17:17">
      <c r="Q237" s="4">
        <v>6</v>
      </c>
    </row>
    <row r="238" spans="17:17">
      <c r="Q238" s="4">
        <v>2</v>
      </c>
    </row>
    <row r="239" spans="17:17">
      <c r="Q239" s="4">
        <v>12</v>
      </c>
    </row>
    <row r="240" spans="17:17">
      <c r="Q240" s="4">
        <v>6</v>
      </c>
    </row>
    <row r="241" spans="17:17">
      <c r="Q241" s="4">
        <v>8</v>
      </c>
    </row>
    <row r="242" spans="17:17">
      <c r="Q242" s="4">
        <v>4</v>
      </c>
    </row>
    <row r="243" spans="17:17">
      <c r="Q243" s="4" t="s">
        <v>8</v>
      </c>
    </row>
    <row r="244" spans="17:17">
      <c r="Q244" s="4">
        <v>80</v>
      </c>
    </row>
    <row r="245" spans="17:17">
      <c r="Q245" s="4">
        <v>80</v>
      </c>
    </row>
    <row r="246" spans="17:17">
      <c r="Q246" s="4">
        <v>0</v>
      </c>
    </row>
    <row r="247" spans="17:17">
      <c r="Q247" s="4">
        <v>40</v>
      </c>
    </row>
    <row r="248" spans="17:17">
      <c r="Q248" s="4">
        <v>40</v>
      </c>
    </row>
    <row r="249" spans="17:17">
      <c r="Q249" s="4">
        <v>6</v>
      </c>
    </row>
    <row r="250" spans="17:17">
      <c r="Q250" s="4">
        <v>14</v>
      </c>
    </row>
    <row r="251" spans="17:17">
      <c r="Q251" s="4">
        <v>8</v>
      </c>
    </row>
    <row r="252" spans="17:17">
      <c r="Q252" s="4">
        <v>8</v>
      </c>
    </row>
    <row r="253" spans="17:17">
      <c r="Q253" s="4">
        <v>7</v>
      </c>
    </row>
    <row r="254" spans="17:17">
      <c r="Q254" s="4">
        <v>16</v>
      </c>
    </row>
    <row r="255" spans="17:17">
      <c r="Q255" s="4">
        <v>40</v>
      </c>
    </row>
    <row r="256" spans="17:17">
      <c r="Q256" s="4">
        <v>16</v>
      </c>
    </row>
    <row r="257" spans="17:17">
      <c r="Q257" s="4">
        <v>24</v>
      </c>
    </row>
    <row r="258" spans="17:17">
      <c r="Q258" s="4">
        <v>32</v>
      </c>
    </row>
    <row r="259" spans="17:17">
      <c r="Q259" s="4">
        <v>24</v>
      </c>
    </row>
    <row r="260" spans="17:17">
      <c r="Q260" s="4">
        <v>4</v>
      </c>
    </row>
    <row r="261" spans="17:17">
      <c r="Q261" s="4">
        <v>2</v>
      </c>
    </row>
    <row r="262" spans="17:17">
      <c r="Q262" s="4" t="s">
        <v>8</v>
      </c>
    </row>
    <row r="263" spans="17:17">
      <c r="Q263" s="4" t="s">
        <v>8</v>
      </c>
    </row>
    <row r="264" spans="17:17">
      <c r="Q264" s="4">
        <v>3</v>
      </c>
    </row>
    <row r="265" spans="17:17">
      <c r="Q265" s="4">
        <v>3</v>
      </c>
    </row>
    <row r="266" spans="17:17">
      <c r="Q266" s="4" t="s">
        <v>8</v>
      </c>
    </row>
    <row r="267" spans="17:17">
      <c r="Q267" s="4">
        <v>3</v>
      </c>
    </row>
    <row r="268" spans="17:17">
      <c r="Q268" s="4">
        <v>2</v>
      </c>
    </row>
    <row r="269" spans="17:17">
      <c r="Q269" s="4">
        <v>3</v>
      </c>
    </row>
    <row r="270" spans="17:17">
      <c r="Q270" s="4">
        <v>3</v>
      </c>
    </row>
    <row r="271" spans="17:17">
      <c r="Q271" s="4">
        <v>2</v>
      </c>
    </row>
    <row r="272" spans="17:17">
      <c r="Q272" s="4">
        <v>3</v>
      </c>
    </row>
    <row r="273" spans="17:17">
      <c r="Q273" s="4">
        <v>2</v>
      </c>
    </row>
    <row r="274" spans="17:17">
      <c r="Q274" s="4">
        <v>3</v>
      </c>
    </row>
    <row r="275" spans="17:17">
      <c r="Q275" s="4">
        <v>2</v>
      </c>
    </row>
    <row r="276" spans="17:17">
      <c r="Q276" s="4">
        <v>2</v>
      </c>
    </row>
    <row r="277" spans="17:17">
      <c r="Q277" s="4">
        <v>3</v>
      </c>
    </row>
    <row r="278" spans="17:17">
      <c r="Q278" s="4">
        <v>2</v>
      </c>
    </row>
    <row r="279" spans="17:17">
      <c r="Q279" s="4">
        <v>2</v>
      </c>
    </row>
    <row r="280" spans="17:17">
      <c r="Q280" s="4" t="s">
        <v>8</v>
      </c>
    </row>
    <row r="281" spans="17:17">
      <c r="Q281" s="4">
        <v>8</v>
      </c>
    </row>
    <row r="282" spans="17:17">
      <c r="Q282" s="4" t="s">
        <v>8</v>
      </c>
    </row>
    <row r="283" spans="17:17">
      <c r="Q283" s="4" t="s">
        <v>8</v>
      </c>
    </row>
    <row r="284" spans="17:17">
      <c r="Q284" s="4">
        <v>2</v>
      </c>
    </row>
    <row r="285" spans="17:17">
      <c r="Q285" s="4">
        <v>2</v>
      </c>
    </row>
    <row r="286" spans="17:17">
      <c r="Q286" s="4">
        <v>2</v>
      </c>
    </row>
    <row r="287" spans="17:17">
      <c r="Q287" s="4" t="s">
        <v>8</v>
      </c>
    </row>
    <row r="288" spans="17:17">
      <c r="Q288" s="4" t="s">
        <v>8</v>
      </c>
    </row>
    <row r="289" spans="17:17">
      <c r="Q289" s="4">
        <v>2</v>
      </c>
    </row>
    <row r="290" spans="17:17">
      <c r="Q290" s="4">
        <v>3</v>
      </c>
    </row>
    <row r="291" spans="17:17">
      <c r="Q291" s="4" t="s">
        <v>8</v>
      </c>
    </row>
    <row r="292" spans="17:17">
      <c r="Q292" s="4">
        <v>3</v>
      </c>
    </row>
    <row r="293" spans="17:17">
      <c r="Q293" s="4">
        <v>3</v>
      </c>
    </row>
    <row r="294" spans="17:17">
      <c r="Q294" s="4">
        <v>4</v>
      </c>
    </row>
    <row r="295" spans="17:17">
      <c r="Q295" s="4">
        <v>4</v>
      </c>
    </row>
    <row r="296" spans="17:17">
      <c r="Q296" s="4">
        <v>3</v>
      </c>
    </row>
    <row r="297" spans="17:17">
      <c r="Q297" s="4">
        <v>4</v>
      </c>
    </row>
    <row r="298" spans="17:17">
      <c r="Q298" s="4" t="s">
        <v>8</v>
      </c>
    </row>
    <row r="299" spans="17:17">
      <c r="Q299" s="4">
        <v>2</v>
      </c>
    </row>
    <row r="300" spans="17:17">
      <c r="Q300" s="4">
        <v>3</v>
      </c>
    </row>
    <row r="301" spans="17:17">
      <c r="Q301" s="4">
        <v>2</v>
      </c>
    </row>
    <row r="302" spans="17:17">
      <c r="Q302" s="4">
        <v>2</v>
      </c>
    </row>
    <row r="303" spans="17:17">
      <c r="Q303" s="4">
        <v>2</v>
      </c>
    </row>
    <row r="304" spans="17:17">
      <c r="Q304" s="4">
        <v>2</v>
      </c>
    </row>
    <row r="305" spans="17:17">
      <c r="Q305" s="4">
        <v>2</v>
      </c>
    </row>
    <row r="306" spans="17:17">
      <c r="Q306" s="4">
        <v>2</v>
      </c>
    </row>
    <row r="307" spans="17:17">
      <c r="Q307" s="4">
        <v>2</v>
      </c>
    </row>
    <row r="308" spans="17:17">
      <c r="Q308" s="4">
        <v>2</v>
      </c>
    </row>
    <row r="309" spans="17:17">
      <c r="Q309" s="4">
        <v>2</v>
      </c>
    </row>
    <row r="310" spans="17:17">
      <c r="Q310" s="4">
        <v>2</v>
      </c>
    </row>
    <row r="311" spans="17:17">
      <c r="Q311" s="4">
        <v>2</v>
      </c>
    </row>
    <row r="312" spans="17:17">
      <c r="Q312" s="4" t="s">
        <v>8</v>
      </c>
    </row>
    <row r="313" spans="17:17">
      <c r="Q313" s="4">
        <v>3</v>
      </c>
    </row>
    <row r="314" spans="17:17">
      <c r="Q314" s="4">
        <v>3</v>
      </c>
    </row>
    <row r="315" spans="17:17">
      <c r="Q315" s="4">
        <v>8</v>
      </c>
    </row>
    <row r="316" spans="17:17">
      <c r="Q316" s="4">
        <v>6</v>
      </c>
    </row>
    <row r="317" spans="17:17">
      <c r="Q317" s="4">
        <v>3</v>
      </c>
    </row>
    <row r="318" spans="17:17">
      <c r="Q318" s="4">
        <v>3</v>
      </c>
    </row>
    <row r="319" spans="17:17">
      <c r="Q319" s="4">
        <v>8</v>
      </c>
    </row>
    <row r="320" spans="17:17">
      <c r="Q320" s="4">
        <v>3</v>
      </c>
    </row>
    <row r="321" spans="17:17">
      <c r="Q321" s="4">
        <v>8</v>
      </c>
    </row>
    <row r="322" spans="17:17">
      <c r="Q322" s="4">
        <v>3</v>
      </c>
    </row>
    <row r="323" spans="17:17">
      <c r="Q323" s="4">
        <v>8</v>
      </c>
    </row>
    <row r="324" spans="17:17">
      <c r="Q324" s="4">
        <v>3</v>
      </c>
    </row>
    <row r="325" spans="17:17">
      <c r="Q325" s="4">
        <v>3</v>
      </c>
    </row>
    <row r="326" spans="17:17">
      <c r="Q326" s="4">
        <v>3</v>
      </c>
    </row>
    <row r="327" spans="17:17">
      <c r="Q327" s="4" t="s">
        <v>8</v>
      </c>
    </row>
    <row r="328" spans="17:17">
      <c r="Q328" s="4">
        <v>3</v>
      </c>
    </row>
    <row r="329" spans="17:17">
      <c r="Q329" s="4">
        <v>6</v>
      </c>
    </row>
    <row r="330" spans="17:17">
      <c r="Q330" s="4">
        <v>6</v>
      </c>
    </row>
    <row r="331" spans="17:17">
      <c r="Q331" s="4">
        <v>8</v>
      </c>
    </row>
    <row r="332" spans="17:17">
      <c r="Q332" s="4">
        <v>6</v>
      </c>
    </row>
    <row r="333" spans="17:17">
      <c r="Q333" s="4">
        <v>6</v>
      </c>
    </row>
    <row r="334" spans="17:17">
      <c r="Q334" s="4">
        <v>6</v>
      </c>
    </row>
    <row r="335" spans="17:17">
      <c r="Q335" s="4">
        <v>6</v>
      </c>
    </row>
    <row r="336" spans="17:17">
      <c r="Q336" s="4">
        <v>2</v>
      </c>
    </row>
    <row r="337" spans="17:17">
      <c r="Q337" s="4">
        <v>6</v>
      </c>
    </row>
    <row r="338" spans="17:17">
      <c r="Q338" s="4">
        <v>3</v>
      </c>
    </row>
    <row r="339" spans="17:17">
      <c r="Q339" s="4">
        <v>3</v>
      </c>
    </row>
    <row r="340" spans="17:17">
      <c r="Q340" s="4">
        <v>6</v>
      </c>
    </row>
    <row r="341" spans="17:17">
      <c r="Q341" s="4">
        <v>3</v>
      </c>
    </row>
    <row r="342" spans="17:17">
      <c r="Q342" s="4">
        <v>3</v>
      </c>
    </row>
    <row r="343" spans="17:17">
      <c r="Q343" s="4">
        <v>3</v>
      </c>
    </row>
    <row r="344" spans="17:17">
      <c r="Q344" s="4">
        <v>3</v>
      </c>
    </row>
    <row r="345" spans="17:17">
      <c r="Q345" s="4">
        <v>3</v>
      </c>
    </row>
    <row r="346" spans="17:17">
      <c r="Q346" s="4">
        <v>6</v>
      </c>
    </row>
    <row r="347" spans="17:17">
      <c r="Q347" s="4">
        <v>6</v>
      </c>
    </row>
    <row r="348" spans="17:17">
      <c r="Q348" s="4">
        <v>3</v>
      </c>
    </row>
    <row r="349" spans="17:17">
      <c r="Q349" s="4">
        <v>3</v>
      </c>
    </row>
    <row r="350" spans="17:17">
      <c r="Q350" s="4">
        <v>3</v>
      </c>
    </row>
    <row r="351" spans="17:17">
      <c r="Q351" s="4">
        <v>3</v>
      </c>
    </row>
    <row r="352" spans="17:17">
      <c r="Q352" s="4">
        <v>3</v>
      </c>
    </row>
    <row r="353" spans="17:17">
      <c r="Q353" s="4">
        <v>6</v>
      </c>
    </row>
    <row r="354" spans="17:17">
      <c r="Q354" s="4">
        <v>6</v>
      </c>
    </row>
    <row r="355" spans="17:17">
      <c r="Q355" s="4" t="s">
        <v>8</v>
      </c>
    </row>
    <row r="356" spans="17:17">
      <c r="Q356" s="4">
        <v>3</v>
      </c>
    </row>
    <row r="357" spans="17:17">
      <c r="Q357" s="4">
        <v>2</v>
      </c>
    </row>
    <row r="358" spans="17:17">
      <c r="Q358" s="4" t="s">
        <v>8</v>
      </c>
    </row>
    <row r="359" spans="17:17">
      <c r="Q359" s="4">
        <v>3</v>
      </c>
    </row>
    <row r="360" spans="17:17">
      <c r="Q360" s="4">
        <v>0.75</v>
      </c>
    </row>
    <row r="361" spans="17:17">
      <c r="Q361" s="4">
        <v>0.25</v>
      </c>
    </row>
    <row r="362" spans="17:17">
      <c r="Q362" s="4">
        <v>0.25</v>
      </c>
    </row>
    <row r="363" spans="17:17">
      <c r="Q363" s="4">
        <v>1.5</v>
      </c>
    </row>
    <row r="364" spans="17:17">
      <c r="Q364" s="4">
        <v>1.5</v>
      </c>
    </row>
    <row r="365" spans="17:17">
      <c r="Q365" s="4">
        <v>0.25</v>
      </c>
    </row>
    <row r="366" spans="17:17">
      <c r="Q366" s="4">
        <v>1.5</v>
      </c>
    </row>
    <row r="367" spans="17:17">
      <c r="Q367" s="4">
        <v>0.75</v>
      </c>
    </row>
    <row r="368" spans="17:17">
      <c r="Q368" s="4">
        <v>1.5</v>
      </c>
    </row>
    <row r="369" spans="17:17">
      <c r="Q369" s="4">
        <v>1.5</v>
      </c>
    </row>
    <row r="370" spans="17:17">
      <c r="Q370" s="4">
        <v>0.75</v>
      </c>
    </row>
    <row r="371" spans="17:17">
      <c r="Q371" s="4">
        <v>1.5</v>
      </c>
    </row>
    <row r="372" spans="17:17">
      <c r="Q372" s="4">
        <v>0.75</v>
      </c>
    </row>
    <row r="373" spans="17:17">
      <c r="Q373" s="4">
        <v>1.5</v>
      </c>
    </row>
    <row r="374" spans="17:17">
      <c r="Q374" s="4">
        <v>0.75</v>
      </c>
    </row>
    <row r="375" spans="17:17">
      <c r="Q375" s="4">
        <v>0.75</v>
      </c>
    </row>
    <row r="376" spans="17:17">
      <c r="Q376" s="4">
        <v>1.5</v>
      </c>
    </row>
    <row r="377" spans="17:17">
      <c r="Q377" s="4">
        <v>0.75</v>
      </c>
    </row>
    <row r="378" spans="17:17">
      <c r="Q378" s="4">
        <v>0.75</v>
      </c>
    </row>
    <row r="379" spans="17:17">
      <c r="Q379" s="4">
        <v>0.25</v>
      </c>
    </row>
    <row r="380" spans="17:17">
      <c r="Q380" s="4">
        <v>6</v>
      </c>
    </row>
    <row r="381" spans="17:17">
      <c r="Q381" s="4">
        <v>0.25</v>
      </c>
    </row>
    <row r="382" spans="17:17">
      <c r="Q382" s="4">
        <v>0.25</v>
      </c>
    </row>
    <row r="383" spans="17:17">
      <c r="Q383" s="4">
        <v>0.75</v>
      </c>
    </row>
    <row r="384" spans="17:17">
      <c r="Q384" s="4">
        <v>0.75</v>
      </c>
    </row>
    <row r="385" spans="17:17">
      <c r="Q385" s="4">
        <v>0.75</v>
      </c>
    </row>
    <row r="386" spans="17:17">
      <c r="Q386" s="4">
        <v>0.25</v>
      </c>
    </row>
    <row r="387" spans="17:17">
      <c r="Q387" s="4">
        <v>0.25</v>
      </c>
    </row>
    <row r="388" spans="17:17">
      <c r="Q388" s="4">
        <v>0.75</v>
      </c>
    </row>
    <row r="389" spans="17:17">
      <c r="Q389" s="4">
        <v>1.5</v>
      </c>
    </row>
    <row r="390" spans="17:17">
      <c r="Q390" s="4">
        <v>0.25</v>
      </c>
    </row>
    <row r="391" spans="17:17">
      <c r="Q391" s="4">
        <v>1.5</v>
      </c>
    </row>
    <row r="392" spans="17:17">
      <c r="Q392" s="4">
        <v>1.5</v>
      </c>
    </row>
    <row r="393" spans="17:17">
      <c r="Q393" s="4">
        <v>3</v>
      </c>
    </row>
    <row r="394" spans="17:17">
      <c r="Q394" s="4">
        <v>3</v>
      </c>
    </row>
    <row r="395" spans="17:17">
      <c r="Q395" s="4">
        <v>1.5</v>
      </c>
    </row>
    <row r="396" spans="17:17">
      <c r="Q396" s="4">
        <v>3</v>
      </c>
    </row>
    <row r="397" spans="17:17">
      <c r="Q397" s="4">
        <v>0.25</v>
      </c>
    </row>
    <row r="398" spans="17:17">
      <c r="Q398" s="4">
        <v>0.75</v>
      </c>
    </row>
    <row r="399" spans="17:17">
      <c r="Q399" s="4">
        <v>1.5</v>
      </c>
    </row>
    <row r="400" spans="17:17">
      <c r="Q400" s="4">
        <v>0.75</v>
      </c>
    </row>
    <row r="401" spans="17:17">
      <c r="Q401" s="4">
        <v>0.75</v>
      </c>
    </row>
    <row r="402" spans="17:17">
      <c r="Q402" s="4">
        <v>0.75</v>
      </c>
    </row>
    <row r="403" spans="17:17">
      <c r="Q403" s="4">
        <v>0.75</v>
      </c>
    </row>
    <row r="404" spans="17:17">
      <c r="Q404" s="4">
        <v>0.75</v>
      </c>
    </row>
    <row r="405" spans="17:17">
      <c r="Q405" s="4">
        <v>0.75</v>
      </c>
    </row>
    <row r="406" spans="17:17">
      <c r="Q406" s="4">
        <v>0.75</v>
      </c>
    </row>
    <row r="407" spans="17:17">
      <c r="Q407" s="4">
        <v>0.75</v>
      </c>
    </row>
    <row r="408" spans="17:17">
      <c r="Q408" s="4">
        <v>0.75</v>
      </c>
    </row>
    <row r="409" spans="17:17">
      <c r="Q409" s="4">
        <v>0.75</v>
      </c>
    </row>
    <row r="410" spans="17:17">
      <c r="Q410" s="4">
        <v>0.75</v>
      </c>
    </row>
    <row r="411" spans="17:17">
      <c r="Q411" s="4">
        <v>0.25</v>
      </c>
    </row>
    <row r="412" spans="17:17">
      <c r="Q412" s="4">
        <v>1.5</v>
      </c>
    </row>
    <row r="413" spans="17:17">
      <c r="Q413" s="4">
        <v>1.5</v>
      </c>
    </row>
    <row r="414" spans="17:17">
      <c r="Q414" s="4">
        <v>6</v>
      </c>
    </row>
    <row r="415" spans="17:17">
      <c r="Q415" s="4">
        <v>4</v>
      </c>
    </row>
    <row r="416" spans="17:17">
      <c r="Q416" s="4">
        <v>1.5</v>
      </c>
    </row>
    <row r="417" spans="17:17">
      <c r="Q417" s="4">
        <v>1.5</v>
      </c>
    </row>
    <row r="418" spans="17:17">
      <c r="Q418" s="4">
        <v>6</v>
      </c>
    </row>
    <row r="419" spans="17:17">
      <c r="Q419" s="4">
        <v>1.5</v>
      </c>
    </row>
    <row r="420" spans="17:17">
      <c r="Q420" s="4">
        <v>6</v>
      </c>
    </row>
    <row r="421" spans="17:17">
      <c r="Q421" s="4">
        <v>1.5</v>
      </c>
    </row>
    <row r="422" spans="17:17">
      <c r="Q422" s="4">
        <v>6</v>
      </c>
    </row>
    <row r="423" spans="17:17">
      <c r="Q423" s="4">
        <v>1.5</v>
      </c>
    </row>
    <row r="424" spans="17:17">
      <c r="Q424" s="4">
        <v>1.5</v>
      </c>
    </row>
    <row r="425" spans="17:17">
      <c r="Q425" s="4">
        <v>1.5</v>
      </c>
    </row>
    <row r="426" spans="17:17">
      <c r="Q426" s="4">
        <v>0.25</v>
      </c>
    </row>
    <row r="427" spans="17:17">
      <c r="Q427" s="4">
        <v>1.5</v>
      </c>
    </row>
    <row r="428" spans="17:17">
      <c r="Q428" s="4">
        <v>4</v>
      </c>
    </row>
    <row r="429" spans="17:17">
      <c r="Q429" s="4">
        <v>1.5</v>
      </c>
    </row>
    <row r="430" spans="17:17">
      <c r="Q430" s="4">
        <v>6</v>
      </c>
    </row>
    <row r="431" spans="17:17">
      <c r="Q431" s="4">
        <v>4</v>
      </c>
    </row>
    <row r="432" spans="17:17">
      <c r="Q432" s="4">
        <v>1.5</v>
      </c>
    </row>
    <row r="433" spans="17:17">
      <c r="Q433" s="4">
        <v>4</v>
      </c>
    </row>
    <row r="434" spans="17:17">
      <c r="Q434" s="4">
        <v>1.5</v>
      </c>
    </row>
    <row r="435" spans="17:17">
      <c r="Q435" s="4">
        <v>0.75</v>
      </c>
    </row>
    <row r="436" spans="17:17">
      <c r="Q436" s="4">
        <v>4</v>
      </c>
    </row>
    <row r="437" spans="17:17">
      <c r="Q437" s="4">
        <v>1.5</v>
      </c>
    </row>
    <row r="438" spans="17:17">
      <c r="Q438" s="4">
        <v>1.5</v>
      </c>
    </row>
    <row r="439" spans="17:17">
      <c r="Q439" s="4">
        <v>4</v>
      </c>
    </row>
    <row r="440" spans="17:17">
      <c r="Q440" s="4">
        <v>1.5</v>
      </c>
    </row>
    <row r="441" spans="17:17">
      <c r="Q441" s="4">
        <v>1.5</v>
      </c>
    </row>
    <row r="442" spans="17:17">
      <c r="Q442" s="4">
        <v>1.5</v>
      </c>
    </row>
    <row r="443" spans="17:17">
      <c r="Q443" s="4">
        <v>1.5</v>
      </c>
    </row>
    <row r="444" spans="17:17">
      <c r="Q444" s="4">
        <v>1.5</v>
      </c>
    </row>
    <row r="445" spans="17:17">
      <c r="Q445" s="4">
        <v>4</v>
      </c>
    </row>
    <row r="446" spans="17:17">
      <c r="Q446" s="4">
        <v>4</v>
      </c>
    </row>
    <row r="447" spans="17:17">
      <c r="Q447" s="4">
        <v>1.5</v>
      </c>
    </row>
    <row r="448" spans="17:17">
      <c r="Q448" s="4">
        <v>1.5</v>
      </c>
    </row>
    <row r="449" spans="17:17">
      <c r="Q449" s="4">
        <v>1.5</v>
      </c>
    </row>
    <row r="450" spans="17:17">
      <c r="Q450" s="4">
        <v>1.5</v>
      </c>
    </row>
    <row r="451" spans="17:17">
      <c r="Q451" s="4">
        <v>1.5</v>
      </c>
    </row>
    <row r="452" spans="17:17">
      <c r="Q452" s="4">
        <v>4</v>
      </c>
    </row>
    <row r="453" spans="17:17">
      <c r="Q453" s="4">
        <v>4</v>
      </c>
    </row>
    <row r="454" spans="17:17">
      <c r="Q454" s="4">
        <v>0.25</v>
      </c>
    </row>
    <row r="455" spans="17:17">
      <c r="Q455" s="4">
        <v>1.5</v>
      </c>
    </row>
    <row r="456" spans="17:17">
      <c r="Q456" s="4">
        <v>0.75</v>
      </c>
    </row>
    <row r="457" spans="17:17">
      <c r="Q457" s="4">
        <v>0.25</v>
      </c>
    </row>
    <row r="458" spans="17:17">
      <c r="Q458" s="4">
        <v>40</v>
      </c>
    </row>
    <row r="459" spans="17:17">
      <c r="Q459" s="4">
        <v>80</v>
      </c>
    </row>
    <row r="460" spans="17:17">
      <c r="Q460" s="4">
        <v>16</v>
      </c>
    </row>
    <row r="461" spans="17:17">
      <c r="Q461" s="4">
        <v>7.5</v>
      </c>
    </row>
    <row r="462" spans="17:17">
      <c r="Q462" s="4">
        <v>3</v>
      </c>
    </row>
    <row r="463" spans="17:17">
      <c r="Q463" s="4">
        <v>3</v>
      </c>
    </row>
    <row r="464" spans="17:17">
      <c r="Q464" s="4">
        <v>12</v>
      </c>
    </row>
    <row r="465" spans="17:17">
      <c r="Q465" s="4">
        <v>12</v>
      </c>
    </row>
    <row r="466" spans="17:17">
      <c r="Q466" s="4">
        <v>3</v>
      </c>
    </row>
    <row r="467" spans="17:17">
      <c r="Q467" s="4">
        <v>12</v>
      </c>
    </row>
    <row r="468" spans="17:17">
      <c r="Q468" s="4">
        <v>7.5</v>
      </c>
    </row>
    <row r="469" spans="17:17">
      <c r="Q469" s="4">
        <v>12</v>
      </c>
    </row>
    <row r="470" spans="17:17">
      <c r="Q470" s="4">
        <v>12</v>
      </c>
    </row>
    <row r="471" spans="17:17">
      <c r="Q471" s="4">
        <v>7.5</v>
      </c>
    </row>
    <row r="472" spans="17:17">
      <c r="Q472" s="4">
        <v>12</v>
      </c>
    </row>
    <row r="473" spans="17:17">
      <c r="Q473" s="4">
        <v>7.5</v>
      </c>
    </row>
    <row r="474" spans="17:17">
      <c r="Q474" s="4">
        <v>12</v>
      </c>
    </row>
    <row r="475" spans="17:17">
      <c r="Q475" s="4">
        <v>7.5</v>
      </c>
    </row>
    <row r="476" spans="17:17">
      <c r="Q476" s="4">
        <v>7.5</v>
      </c>
    </row>
    <row r="477" spans="17:17">
      <c r="Q477" s="4">
        <v>12</v>
      </c>
    </row>
    <row r="478" spans="17:17">
      <c r="Q478" s="4">
        <v>7.5</v>
      </c>
    </row>
    <row r="479" spans="17:17">
      <c r="Q479" s="4">
        <v>7.5</v>
      </c>
    </row>
    <row r="480" spans="17:17">
      <c r="Q480" s="4">
        <v>3</v>
      </c>
    </row>
    <row r="481" spans="17:17">
      <c r="Q481" s="4">
        <v>26</v>
      </c>
    </row>
    <row r="482" spans="17:17">
      <c r="Q482" s="4">
        <v>3</v>
      </c>
    </row>
    <row r="483" spans="17:17">
      <c r="Q483" s="4">
        <v>3</v>
      </c>
    </row>
    <row r="484" spans="17:17">
      <c r="Q484" s="4">
        <v>7.5</v>
      </c>
    </row>
    <row r="485" spans="17:17">
      <c r="Q485" s="4">
        <v>7.5</v>
      </c>
    </row>
    <row r="486" spans="17:17">
      <c r="Q486" s="4">
        <v>7.5</v>
      </c>
    </row>
    <row r="487" spans="17:17">
      <c r="Q487" s="4">
        <v>3</v>
      </c>
    </row>
    <row r="488" spans="17:17">
      <c r="Q488" s="4">
        <v>3</v>
      </c>
    </row>
    <row r="489" spans="17:17">
      <c r="Q489" s="4">
        <v>7.5</v>
      </c>
    </row>
    <row r="490" spans="17:17">
      <c r="Q490" s="4">
        <v>12</v>
      </c>
    </row>
    <row r="491" spans="17:17">
      <c r="Q491" s="4">
        <v>3</v>
      </c>
    </row>
    <row r="492" spans="17:17">
      <c r="Q492" s="4">
        <v>12</v>
      </c>
    </row>
    <row r="493" spans="17:17">
      <c r="Q493" s="4">
        <v>12</v>
      </c>
    </row>
    <row r="494" spans="17:17">
      <c r="Q494" s="4">
        <v>16</v>
      </c>
    </row>
    <row r="495" spans="17:17">
      <c r="Q495" s="4">
        <v>16</v>
      </c>
    </row>
    <row r="496" spans="17:17">
      <c r="Q496" s="4">
        <v>12</v>
      </c>
    </row>
    <row r="497" spans="17:17">
      <c r="Q497" s="4">
        <v>16</v>
      </c>
    </row>
    <row r="498" spans="17:17">
      <c r="Q498" s="4">
        <v>3</v>
      </c>
    </row>
    <row r="499" spans="17:17">
      <c r="Q499" s="4">
        <v>7.5</v>
      </c>
    </row>
    <row r="500" spans="17:17">
      <c r="Q500" s="4">
        <v>12</v>
      </c>
    </row>
    <row r="501" spans="17:17">
      <c r="Q501" s="4">
        <v>7.5</v>
      </c>
    </row>
    <row r="502" spans="17:17">
      <c r="Q502" s="4">
        <v>7.5</v>
      </c>
    </row>
    <row r="503" spans="17:17">
      <c r="Q503" s="4">
        <v>7.5</v>
      </c>
    </row>
    <row r="504" spans="17:17">
      <c r="Q504" s="4">
        <v>7.5</v>
      </c>
    </row>
    <row r="505" spans="17:17">
      <c r="Q505" s="4">
        <v>7.5</v>
      </c>
    </row>
    <row r="506" spans="17:17">
      <c r="Q506" s="4">
        <v>7.5</v>
      </c>
    </row>
    <row r="507" spans="17:17">
      <c r="Q507" s="4">
        <v>7.5</v>
      </c>
    </row>
    <row r="508" spans="17:17">
      <c r="Q508" s="4">
        <v>7.5</v>
      </c>
    </row>
    <row r="509" spans="17:17">
      <c r="Q509" s="4">
        <v>7.5</v>
      </c>
    </row>
    <row r="510" spans="17:17">
      <c r="Q510" s="4">
        <v>7.5</v>
      </c>
    </row>
    <row r="511" spans="17:17">
      <c r="Q511" s="4">
        <v>7.5</v>
      </c>
    </row>
    <row r="512" spans="17:17">
      <c r="Q512" s="4">
        <v>3</v>
      </c>
    </row>
    <row r="513" spans="17:17">
      <c r="Q513" s="4">
        <v>12</v>
      </c>
    </row>
    <row r="514" spans="17:17">
      <c r="Q514" s="4">
        <v>12</v>
      </c>
    </row>
    <row r="515" spans="17:17">
      <c r="Q515" s="4">
        <v>26</v>
      </c>
    </row>
    <row r="516" spans="17:17">
      <c r="Q516" s="4">
        <v>20</v>
      </c>
    </row>
    <row r="517" spans="17:17">
      <c r="Q517" s="4">
        <v>12</v>
      </c>
    </row>
    <row r="518" spans="17:17">
      <c r="Q518" s="4">
        <v>12</v>
      </c>
    </row>
    <row r="519" spans="17:17">
      <c r="Q519" s="4">
        <v>26</v>
      </c>
    </row>
    <row r="520" spans="17:17">
      <c r="Q520" s="4">
        <v>12</v>
      </c>
    </row>
    <row r="521" spans="17:17">
      <c r="Q521" s="4">
        <v>26</v>
      </c>
    </row>
    <row r="522" spans="17:17">
      <c r="Q522" s="4">
        <v>12</v>
      </c>
    </row>
    <row r="523" spans="17:17">
      <c r="Q523" s="4">
        <v>26</v>
      </c>
    </row>
    <row r="524" spans="17:17">
      <c r="Q524" s="4">
        <v>12</v>
      </c>
    </row>
    <row r="525" spans="17:17">
      <c r="Q525" s="4">
        <v>12</v>
      </c>
    </row>
    <row r="526" spans="17:17">
      <c r="Q526" s="4">
        <v>12</v>
      </c>
    </row>
    <row r="527" spans="17:17">
      <c r="Q527" s="4">
        <v>3</v>
      </c>
    </row>
    <row r="528" spans="17:17">
      <c r="Q528" s="4">
        <v>12</v>
      </c>
    </row>
    <row r="529" spans="17:17">
      <c r="Q529" s="4">
        <v>20</v>
      </c>
    </row>
    <row r="530" spans="17:17">
      <c r="Q530" s="4">
        <v>16</v>
      </c>
    </row>
    <row r="531" spans="17:17">
      <c r="Q531" s="4">
        <v>26</v>
      </c>
    </row>
    <row r="532" spans="17:17">
      <c r="Q532" s="4">
        <v>20</v>
      </c>
    </row>
    <row r="533" spans="17:17">
      <c r="Q533" s="4">
        <v>16</v>
      </c>
    </row>
    <row r="534" spans="17:17">
      <c r="Q534" s="4">
        <v>20</v>
      </c>
    </row>
    <row r="535" spans="17:17">
      <c r="Q535" s="4">
        <v>16</v>
      </c>
    </row>
    <row r="536" spans="17:17">
      <c r="Q536" s="4">
        <v>7.5</v>
      </c>
    </row>
    <row r="537" spans="17:17">
      <c r="Q537" s="4">
        <v>20</v>
      </c>
    </row>
    <row r="538" spans="17:17">
      <c r="Q538" s="4">
        <v>12</v>
      </c>
    </row>
    <row r="539" spans="17:17">
      <c r="Q539" s="4">
        <v>12</v>
      </c>
    </row>
    <row r="540" spans="17:17">
      <c r="Q540" s="4">
        <v>20</v>
      </c>
    </row>
    <row r="541" spans="17:17">
      <c r="Q541" s="4">
        <v>12</v>
      </c>
    </row>
    <row r="542" spans="17:17">
      <c r="Q542" s="4">
        <v>12</v>
      </c>
    </row>
    <row r="543" spans="17:17">
      <c r="Q543" s="4">
        <v>12</v>
      </c>
    </row>
    <row r="544" spans="17:17">
      <c r="Q544" s="4">
        <v>12</v>
      </c>
    </row>
    <row r="545" spans="17:17">
      <c r="Q545" s="4">
        <v>12</v>
      </c>
    </row>
    <row r="546" spans="17:17">
      <c r="Q546" s="4">
        <v>20</v>
      </c>
    </row>
    <row r="547" spans="17:17">
      <c r="Q547" s="4">
        <v>20</v>
      </c>
    </row>
    <row r="548" spans="17:17">
      <c r="Q548" s="4">
        <v>12</v>
      </c>
    </row>
    <row r="549" spans="17:17">
      <c r="Q549" s="4">
        <v>12</v>
      </c>
    </row>
    <row r="550" spans="17:17">
      <c r="Q550" s="4">
        <v>12</v>
      </c>
    </row>
    <row r="551" spans="17:17">
      <c r="Q551" s="4">
        <v>12</v>
      </c>
    </row>
    <row r="552" spans="17:17">
      <c r="Q552" s="4">
        <v>12</v>
      </c>
    </row>
    <row r="553" spans="17:17">
      <c r="Q553" s="4">
        <v>20</v>
      </c>
    </row>
    <row r="554" spans="17:17">
      <c r="Q554" s="4">
        <v>20</v>
      </c>
    </row>
    <row r="555" spans="17:17">
      <c r="Q555" s="4">
        <v>3</v>
      </c>
    </row>
    <row r="556" spans="17:17">
      <c r="Q556" s="4">
        <v>12</v>
      </c>
    </row>
    <row r="557" spans="17:17">
      <c r="Q557" s="4">
        <v>7.5</v>
      </c>
    </row>
    <row r="558" spans="17:17">
      <c r="Q558" s="4">
        <v>3</v>
      </c>
    </row>
    <row r="559" spans="17:17">
      <c r="Q559" s="4">
        <v>16</v>
      </c>
    </row>
    <row r="560" spans="17:17">
      <c r="Q560" s="4">
        <v>8</v>
      </c>
    </row>
    <row r="561" spans="17:17">
      <c r="Q561" s="4">
        <v>4</v>
      </c>
    </row>
    <row r="562" spans="17:17">
      <c r="Q562" s="4">
        <v>4</v>
      </c>
    </row>
    <row r="563" spans="17:17">
      <c r="Q563" s="4">
        <v>12</v>
      </c>
    </row>
    <row r="564" spans="17:17">
      <c r="Q564" s="4">
        <v>12</v>
      </c>
    </row>
    <row r="565" spans="17:17">
      <c r="Q565" s="4">
        <v>4</v>
      </c>
    </row>
    <row r="566" spans="17:17">
      <c r="Q566" s="4">
        <v>12</v>
      </c>
    </row>
    <row r="567" spans="17:17">
      <c r="Q567" s="4">
        <v>8</v>
      </c>
    </row>
    <row r="568" spans="17:17">
      <c r="Q568" s="4">
        <v>12</v>
      </c>
    </row>
    <row r="569" spans="17:17">
      <c r="Q569" s="4">
        <v>12</v>
      </c>
    </row>
    <row r="570" spans="17:17">
      <c r="Q570" s="4">
        <v>8</v>
      </c>
    </row>
    <row r="571" spans="17:17">
      <c r="Q571" s="4">
        <v>12</v>
      </c>
    </row>
    <row r="572" spans="17:17">
      <c r="Q572" s="4">
        <v>8</v>
      </c>
    </row>
    <row r="573" spans="17:17">
      <c r="Q573" s="4">
        <v>12</v>
      </c>
    </row>
    <row r="574" spans="17:17">
      <c r="Q574" s="4">
        <v>8</v>
      </c>
    </row>
    <row r="575" spans="17:17">
      <c r="Q575" s="4">
        <v>8</v>
      </c>
    </row>
    <row r="576" spans="17:17">
      <c r="Q576" s="4">
        <v>12</v>
      </c>
    </row>
    <row r="577" spans="17:17">
      <c r="Q577" s="4">
        <v>8</v>
      </c>
    </row>
    <row r="578" spans="17:17">
      <c r="Q578" s="4">
        <v>8</v>
      </c>
    </row>
    <row r="579" spans="17:17">
      <c r="Q579" s="4">
        <v>4</v>
      </c>
    </row>
    <row r="580" spans="17:17">
      <c r="Q580" s="4">
        <v>40</v>
      </c>
    </row>
    <row r="581" spans="17:17">
      <c r="Q581" s="4">
        <v>4</v>
      </c>
    </row>
    <row r="582" spans="17:17">
      <c r="Q582" s="4">
        <v>4</v>
      </c>
    </row>
    <row r="583" spans="17:17">
      <c r="Q583" s="4">
        <v>8</v>
      </c>
    </row>
    <row r="584" spans="17:17">
      <c r="Q584" s="4">
        <v>8</v>
      </c>
    </row>
    <row r="585" spans="17:17">
      <c r="Q585" s="4">
        <v>8</v>
      </c>
    </row>
    <row r="586" spans="17:17">
      <c r="Q586" s="4">
        <v>4</v>
      </c>
    </row>
    <row r="587" spans="17:17">
      <c r="Q587" s="4">
        <v>4</v>
      </c>
    </row>
    <row r="588" spans="17:17">
      <c r="Q588" s="4">
        <v>8</v>
      </c>
    </row>
    <row r="589" spans="17:17">
      <c r="Q589" s="4">
        <v>12</v>
      </c>
    </row>
    <row r="590" spans="17:17">
      <c r="Q590" s="4">
        <v>4</v>
      </c>
    </row>
    <row r="591" spans="17:17">
      <c r="Q591" s="4">
        <v>12</v>
      </c>
    </row>
    <row r="592" spans="17:17">
      <c r="Q592" s="4">
        <v>12</v>
      </c>
    </row>
    <row r="593" spans="17:17">
      <c r="Q593" s="4">
        <v>16</v>
      </c>
    </row>
    <row r="594" spans="17:17">
      <c r="Q594" s="4">
        <v>16</v>
      </c>
    </row>
    <row r="595" spans="17:17">
      <c r="Q595" s="4">
        <v>12</v>
      </c>
    </row>
    <row r="596" spans="17:17">
      <c r="Q596" s="4">
        <v>16</v>
      </c>
    </row>
    <row r="597" spans="17:17">
      <c r="Q597" s="4">
        <v>4</v>
      </c>
    </row>
    <row r="598" spans="17:17">
      <c r="Q598" s="4">
        <v>8</v>
      </c>
    </row>
    <row r="599" spans="17:17">
      <c r="Q599" s="4">
        <v>12</v>
      </c>
    </row>
    <row r="600" spans="17:17">
      <c r="Q600" s="4">
        <v>8</v>
      </c>
    </row>
    <row r="601" spans="17:17">
      <c r="Q601" s="4">
        <v>8</v>
      </c>
    </row>
    <row r="602" spans="17:17">
      <c r="Q602" s="4">
        <v>8</v>
      </c>
    </row>
    <row r="603" spans="17:17">
      <c r="Q603" s="4">
        <v>8</v>
      </c>
    </row>
    <row r="604" spans="17:17">
      <c r="Q604" s="4">
        <v>8</v>
      </c>
    </row>
    <row r="605" spans="17:17">
      <c r="Q605" s="4">
        <v>8</v>
      </c>
    </row>
    <row r="606" spans="17:17">
      <c r="Q606" s="4">
        <v>8</v>
      </c>
    </row>
    <row r="607" spans="17:17">
      <c r="Q607" s="4">
        <v>8</v>
      </c>
    </row>
    <row r="608" spans="17:17">
      <c r="Q608" s="4">
        <v>8</v>
      </c>
    </row>
    <row r="609" spans="17:17">
      <c r="Q609" s="4">
        <v>8</v>
      </c>
    </row>
    <row r="610" spans="17:17">
      <c r="Q610" s="4">
        <v>8</v>
      </c>
    </row>
    <row r="611" spans="17:17">
      <c r="Q611" s="4">
        <v>4</v>
      </c>
    </row>
    <row r="612" spans="17:17">
      <c r="Q612" s="4">
        <v>12</v>
      </c>
    </row>
    <row r="613" spans="17:17">
      <c r="Q613" s="4">
        <v>12</v>
      </c>
    </row>
    <row r="614" spans="17:17">
      <c r="Q614" s="4">
        <v>40</v>
      </c>
    </row>
    <row r="615" spans="17:17">
      <c r="Q615" s="4">
        <v>32</v>
      </c>
    </row>
    <row r="616" spans="17:17">
      <c r="Q616" s="4">
        <v>12</v>
      </c>
    </row>
    <row r="617" spans="17:17">
      <c r="Q617" s="4">
        <v>12</v>
      </c>
    </row>
    <row r="618" spans="17:17">
      <c r="Q618" s="4">
        <v>40</v>
      </c>
    </row>
    <row r="619" spans="17:17">
      <c r="Q619" s="4">
        <v>12</v>
      </c>
    </row>
    <row r="620" spans="17:17">
      <c r="Q620" s="4">
        <v>40</v>
      </c>
    </row>
    <row r="621" spans="17:17">
      <c r="Q621" s="4">
        <v>12</v>
      </c>
    </row>
    <row r="622" spans="17:17">
      <c r="Q622" s="4">
        <v>40</v>
      </c>
    </row>
    <row r="623" spans="17:17">
      <c r="Q623" s="4">
        <v>12</v>
      </c>
    </row>
    <row r="624" spans="17:17">
      <c r="Q624" s="4">
        <v>12</v>
      </c>
    </row>
    <row r="625" spans="17:17">
      <c r="Q625" s="4">
        <v>12</v>
      </c>
    </row>
    <row r="626" spans="17:17">
      <c r="Q626" s="4">
        <v>4</v>
      </c>
    </row>
    <row r="627" spans="17:17">
      <c r="Q627" s="4">
        <v>12</v>
      </c>
    </row>
    <row r="628" spans="17:17">
      <c r="Q628" s="4">
        <v>32</v>
      </c>
    </row>
    <row r="629" spans="17:17">
      <c r="Q629" s="4">
        <v>12</v>
      </c>
    </row>
    <row r="630" spans="17:17">
      <c r="Q630" s="4">
        <v>40</v>
      </c>
    </row>
    <row r="631" spans="17:17">
      <c r="Q631" s="4">
        <v>32</v>
      </c>
    </row>
    <row r="632" spans="17:17">
      <c r="Q632" s="4">
        <v>12</v>
      </c>
    </row>
    <row r="633" spans="17:17">
      <c r="Q633" s="4">
        <v>32</v>
      </c>
    </row>
    <row r="634" spans="17:17">
      <c r="Q634" s="4">
        <v>12</v>
      </c>
    </row>
    <row r="635" spans="17:17">
      <c r="Q635" s="4">
        <v>8</v>
      </c>
    </row>
    <row r="636" spans="17:17">
      <c r="Q636" s="4">
        <v>32</v>
      </c>
    </row>
    <row r="637" spans="17:17">
      <c r="Q637" s="4">
        <v>12</v>
      </c>
    </row>
    <row r="638" spans="17:17">
      <c r="Q638" s="4">
        <v>12</v>
      </c>
    </row>
    <row r="639" spans="17:17">
      <c r="Q639" s="4">
        <v>32</v>
      </c>
    </row>
    <row r="640" spans="17:17">
      <c r="Q640" s="4">
        <v>12</v>
      </c>
    </row>
    <row r="641" spans="17:17">
      <c r="Q641" s="4">
        <v>12</v>
      </c>
    </row>
    <row r="642" spans="17:17">
      <c r="Q642" s="4">
        <v>12</v>
      </c>
    </row>
    <row r="643" spans="17:17">
      <c r="Q643" s="4">
        <v>12</v>
      </c>
    </row>
    <row r="644" spans="17:17">
      <c r="Q644" s="4">
        <v>12</v>
      </c>
    </row>
    <row r="645" spans="17:17">
      <c r="Q645" s="4">
        <v>32</v>
      </c>
    </row>
    <row r="646" spans="17:17">
      <c r="Q646" s="4">
        <v>32</v>
      </c>
    </row>
    <row r="647" spans="17:17">
      <c r="Q647" s="4">
        <v>12</v>
      </c>
    </row>
    <row r="648" spans="17:17">
      <c r="Q648" s="4">
        <v>12</v>
      </c>
    </row>
    <row r="649" spans="17:17">
      <c r="Q649" s="4">
        <v>12</v>
      </c>
    </row>
    <row r="650" spans="17:17">
      <c r="Q650" s="4">
        <v>12</v>
      </c>
    </row>
    <row r="651" spans="17:17">
      <c r="Q651" s="4">
        <v>12</v>
      </c>
    </row>
    <row r="652" spans="17:17">
      <c r="Q652" s="4">
        <v>32</v>
      </c>
    </row>
    <row r="653" spans="17:17">
      <c r="Q653" s="4">
        <v>32</v>
      </c>
    </row>
    <row r="654" spans="17:17">
      <c r="Q654" s="4">
        <v>4</v>
      </c>
    </row>
    <row r="655" spans="17:17">
      <c r="Q655" s="4">
        <v>12</v>
      </c>
    </row>
    <row r="656" spans="17:17">
      <c r="Q656" s="4">
        <v>8</v>
      </c>
    </row>
    <row r="657" spans="17:17">
      <c r="Q657" s="4">
        <v>4</v>
      </c>
    </row>
    <row r="658" spans="17:17">
      <c r="Q658" s="4">
        <v>80</v>
      </c>
    </row>
    <row r="659" spans="17:17">
      <c r="Q659" s="4">
        <v>6</v>
      </c>
    </row>
    <row r="660" spans="17:17">
      <c r="Q660" s="4">
        <v>1.5</v>
      </c>
    </row>
    <row r="661" spans="17:17">
      <c r="Q661" s="4">
        <v>0.5</v>
      </c>
    </row>
    <row r="662" spans="17:17">
      <c r="Q662" s="4">
        <v>0.5</v>
      </c>
    </row>
    <row r="663" spans="17:17">
      <c r="Q663" s="4">
        <v>3</v>
      </c>
    </row>
    <row r="664" spans="17:17">
      <c r="Q664" s="4">
        <v>3</v>
      </c>
    </row>
    <row r="665" spans="17:17">
      <c r="Q665" s="4">
        <v>0.5</v>
      </c>
    </row>
    <row r="666" spans="17:17">
      <c r="Q666" s="4">
        <v>3</v>
      </c>
    </row>
    <row r="667" spans="17:17">
      <c r="Q667" s="4">
        <v>1.5</v>
      </c>
    </row>
    <row r="668" spans="17:17">
      <c r="Q668" s="4">
        <v>3</v>
      </c>
    </row>
    <row r="669" spans="17:17">
      <c r="Q669" s="4">
        <v>3</v>
      </c>
    </row>
    <row r="670" spans="17:17">
      <c r="Q670" s="4">
        <v>1.5</v>
      </c>
    </row>
    <row r="671" spans="17:17">
      <c r="Q671" s="4">
        <v>3</v>
      </c>
    </row>
    <row r="672" spans="17:17">
      <c r="Q672" s="4">
        <v>1.5</v>
      </c>
    </row>
    <row r="673" spans="17:17">
      <c r="Q673" s="4">
        <v>3</v>
      </c>
    </row>
    <row r="674" spans="17:17">
      <c r="Q674" s="4">
        <v>1.5</v>
      </c>
    </row>
    <row r="675" spans="17:17">
      <c r="Q675" s="4">
        <v>1.5</v>
      </c>
    </row>
    <row r="676" spans="17:17">
      <c r="Q676" s="4">
        <v>3</v>
      </c>
    </row>
    <row r="677" spans="17:17">
      <c r="Q677" s="4">
        <v>1.5</v>
      </c>
    </row>
    <row r="678" spans="17:17">
      <c r="Q678" s="4">
        <v>1.5</v>
      </c>
    </row>
    <row r="679" spans="17:17">
      <c r="Q679" s="4">
        <v>0.5</v>
      </c>
    </row>
    <row r="680" spans="17:17">
      <c r="Q680" s="4">
        <v>12</v>
      </c>
    </row>
    <row r="681" spans="17:17">
      <c r="Q681" s="4">
        <v>0.5</v>
      </c>
    </row>
    <row r="682" spans="17:17">
      <c r="Q682" s="4">
        <v>0.5</v>
      </c>
    </row>
    <row r="683" spans="17:17">
      <c r="Q683" s="4">
        <v>1.5</v>
      </c>
    </row>
    <row r="684" spans="17:17">
      <c r="Q684" s="4">
        <v>1.5</v>
      </c>
    </row>
    <row r="685" spans="17:17">
      <c r="Q685" s="4">
        <v>1.5</v>
      </c>
    </row>
    <row r="686" spans="17:17">
      <c r="Q686" s="4">
        <v>0.5</v>
      </c>
    </row>
    <row r="687" spans="17:17">
      <c r="Q687" s="4">
        <v>0.5</v>
      </c>
    </row>
    <row r="688" spans="17:17">
      <c r="Q688" s="4">
        <v>1.5</v>
      </c>
    </row>
    <row r="689" spans="17:17">
      <c r="Q689" s="4">
        <v>3</v>
      </c>
    </row>
    <row r="690" spans="17:17">
      <c r="Q690" s="4">
        <v>0.5</v>
      </c>
    </row>
    <row r="691" spans="17:17">
      <c r="Q691" s="4">
        <v>3</v>
      </c>
    </row>
    <row r="692" spans="17:17">
      <c r="Q692" s="4">
        <v>3</v>
      </c>
    </row>
    <row r="693" spans="17:17">
      <c r="Q693" s="4">
        <v>6</v>
      </c>
    </row>
    <row r="694" spans="17:17">
      <c r="Q694" s="4">
        <v>6</v>
      </c>
    </row>
    <row r="695" spans="17:17">
      <c r="Q695" s="4">
        <v>3</v>
      </c>
    </row>
    <row r="696" spans="17:17">
      <c r="Q696" s="4">
        <v>6</v>
      </c>
    </row>
    <row r="697" spans="17:17">
      <c r="Q697" s="4">
        <v>0.5</v>
      </c>
    </row>
    <row r="698" spans="17:17">
      <c r="Q698" s="4">
        <v>1.5</v>
      </c>
    </row>
    <row r="699" spans="17:17">
      <c r="Q699" s="4">
        <v>3</v>
      </c>
    </row>
    <row r="700" spans="17:17">
      <c r="Q700" s="4">
        <v>1.5</v>
      </c>
    </row>
    <row r="701" spans="17:17">
      <c r="Q701" s="4">
        <v>1.5</v>
      </c>
    </row>
    <row r="702" spans="17:17">
      <c r="Q702" s="4">
        <v>1.5</v>
      </c>
    </row>
    <row r="703" spans="17:17">
      <c r="Q703" s="4">
        <v>1.5</v>
      </c>
    </row>
    <row r="704" spans="17:17">
      <c r="Q704" s="4">
        <v>1.5</v>
      </c>
    </row>
    <row r="705" spans="17:17">
      <c r="Q705" s="4">
        <v>1.5</v>
      </c>
    </row>
    <row r="706" spans="17:17">
      <c r="Q706" s="4">
        <v>1.5</v>
      </c>
    </row>
    <row r="707" spans="17:17">
      <c r="Q707" s="4">
        <v>1.5</v>
      </c>
    </row>
    <row r="708" spans="17:17">
      <c r="Q708" s="4">
        <v>1.5</v>
      </c>
    </row>
    <row r="709" spans="17:17">
      <c r="Q709" s="4">
        <v>1.5</v>
      </c>
    </row>
    <row r="710" spans="17:17">
      <c r="Q710" s="4">
        <v>1.5</v>
      </c>
    </row>
    <row r="711" spans="17:17">
      <c r="Q711" s="4">
        <v>0.5</v>
      </c>
    </row>
    <row r="712" spans="17:17">
      <c r="Q712" s="4">
        <v>3</v>
      </c>
    </row>
    <row r="713" spans="17:17">
      <c r="Q713" s="4">
        <v>3</v>
      </c>
    </row>
    <row r="714" spans="17:17">
      <c r="Q714" s="4">
        <v>12</v>
      </c>
    </row>
    <row r="715" spans="17:17">
      <c r="Q715" s="4">
        <v>8</v>
      </c>
    </row>
    <row r="716" spans="17:17">
      <c r="Q716" s="4">
        <v>3</v>
      </c>
    </row>
    <row r="717" spans="17:17">
      <c r="Q717" s="4">
        <v>3</v>
      </c>
    </row>
    <row r="718" spans="17:17">
      <c r="Q718" s="4">
        <v>12</v>
      </c>
    </row>
    <row r="719" spans="17:17">
      <c r="Q719" s="4">
        <v>3</v>
      </c>
    </row>
    <row r="720" spans="17:17">
      <c r="Q720" s="4">
        <v>12</v>
      </c>
    </row>
    <row r="721" spans="17:17">
      <c r="Q721" s="4">
        <v>3</v>
      </c>
    </row>
    <row r="722" spans="17:17">
      <c r="Q722" s="4">
        <v>12</v>
      </c>
    </row>
    <row r="723" spans="17:17">
      <c r="Q723" s="4">
        <v>3</v>
      </c>
    </row>
    <row r="724" spans="17:17">
      <c r="Q724" s="4">
        <v>3</v>
      </c>
    </row>
    <row r="725" spans="17:17">
      <c r="Q725" s="4">
        <v>3</v>
      </c>
    </row>
    <row r="726" spans="17:17">
      <c r="Q726" s="4">
        <v>0.5</v>
      </c>
    </row>
    <row r="727" spans="17:17">
      <c r="Q727" s="4">
        <v>3</v>
      </c>
    </row>
    <row r="728" spans="17:17">
      <c r="Q728" s="4">
        <v>8</v>
      </c>
    </row>
    <row r="729" spans="17:17">
      <c r="Q729" s="4">
        <v>3</v>
      </c>
    </row>
    <row r="730" spans="17:17">
      <c r="Q730" s="4">
        <v>12</v>
      </c>
    </row>
    <row r="731" spans="17:17">
      <c r="Q731" s="4">
        <v>8</v>
      </c>
    </row>
    <row r="732" spans="17:17">
      <c r="Q732" s="4">
        <v>3</v>
      </c>
    </row>
    <row r="733" spans="17:17">
      <c r="Q733" s="4">
        <v>8</v>
      </c>
    </row>
    <row r="734" spans="17:17">
      <c r="Q734" s="4">
        <v>3</v>
      </c>
    </row>
    <row r="735" spans="17:17">
      <c r="Q735" s="4">
        <v>1.5</v>
      </c>
    </row>
    <row r="736" spans="17:17">
      <c r="Q736" s="4">
        <v>8</v>
      </c>
    </row>
    <row r="737" spans="17:17">
      <c r="Q737" s="4">
        <v>3</v>
      </c>
    </row>
    <row r="738" spans="17:17">
      <c r="Q738" s="4">
        <v>3</v>
      </c>
    </row>
    <row r="739" spans="17:17">
      <c r="Q739" s="4">
        <v>8</v>
      </c>
    </row>
    <row r="740" spans="17:17">
      <c r="Q740" s="4">
        <v>3</v>
      </c>
    </row>
    <row r="741" spans="17:17">
      <c r="Q741" s="4">
        <v>3</v>
      </c>
    </row>
    <row r="742" spans="17:17">
      <c r="Q742" s="4">
        <v>3</v>
      </c>
    </row>
    <row r="743" spans="17:17">
      <c r="Q743" s="4">
        <v>3</v>
      </c>
    </row>
    <row r="744" spans="17:17">
      <c r="Q744" s="4">
        <v>3</v>
      </c>
    </row>
    <row r="745" spans="17:17">
      <c r="Q745" s="4">
        <v>8</v>
      </c>
    </row>
    <row r="746" spans="17:17">
      <c r="Q746" s="4">
        <v>8</v>
      </c>
    </row>
    <row r="747" spans="17:17">
      <c r="Q747" s="4">
        <v>3</v>
      </c>
    </row>
    <row r="748" spans="17:17">
      <c r="Q748" s="4">
        <v>3</v>
      </c>
    </row>
    <row r="749" spans="17:17">
      <c r="Q749" s="4">
        <v>3</v>
      </c>
    </row>
    <row r="750" spans="17:17">
      <c r="Q750" s="4">
        <v>3</v>
      </c>
    </row>
    <row r="751" spans="17:17">
      <c r="Q751" s="4">
        <v>3</v>
      </c>
    </row>
    <row r="752" spans="17:17">
      <c r="Q752" s="4">
        <v>8</v>
      </c>
    </row>
    <row r="753" spans="17:17">
      <c r="Q753" s="4">
        <v>8</v>
      </c>
    </row>
    <row r="754" spans="17:17">
      <c r="Q754" s="4">
        <v>0.5</v>
      </c>
    </row>
    <row r="755" spans="17:17">
      <c r="Q755" s="4">
        <v>3</v>
      </c>
    </row>
    <row r="756" spans="17:17">
      <c r="Q756" s="4">
        <v>1.5</v>
      </c>
    </row>
    <row r="757" spans="17:17">
      <c r="Q757" s="4">
        <v>0.5</v>
      </c>
    </row>
    <row r="758" spans="17:17">
      <c r="Q758" s="4">
        <v>8</v>
      </c>
    </row>
    <row r="759" spans="17:17">
      <c r="Q759" s="4">
        <v>38.25</v>
      </c>
    </row>
    <row r="760" spans="17:17">
      <c r="Q760" s="4">
        <v>63</v>
      </c>
    </row>
    <row r="761" spans="17:17">
      <c r="Q761" s="4">
        <v>59.25</v>
      </c>
    </row>
    <row r="762" spans="17:17">
      <c r="Q762" s="4">
        <v>14.25</v>
      </c>
    </row>
    <row r="763" spans="17:17">
      <c r="Q763" s="4">
        <v>125.25</v>
      </c>
    </row>
    <row r="764" spans="17:17">
      <c r="Q764" s="4">
        <v>74.25</v>
      </c>
    </row>
    <row r="765" spans="17:17">
      <c r="Q765" s="4">
        <v>88.5</v>
      </c>
    </row>
    <row r="766" spans="17:17">
      <c r="Q766" s="4">
        <v>7.5</v>
      </c>
    </row>
    <row r="767" spans="17:17">
      <c r="Q767" s="4">
        <v>47</v>
      </c>
    </row>
    <row r="768" spans="17:17">
      <c r="Q768" s="4">
        <v>0</v>
      </c>
    </row>
    <row r="769" spans="17:17">
      <c r="Q769" s="4">
        <v>80</v>
      </c>
    </row>
    <row r="770" spans="17:17">
      <c r="Q770" s="4">
        <v>40</v>
      </c>
    </row>
    <row r="771" spans="17:17">
      <c r="Q771" s="4">
        <v>0</v>
      </c>
    </row>
    <row r="772" spans="17:17">
      <c r="Q772" s="4">
        <v>16</v>
      </c>
    </row>
    <row r="773" spans="17:17">
      <c r="Q773" s="4">
        <v>80</v>
      </c>
    </row>
    <row r="774" spans="17:17">
      <c r="Q774" s="4">
        <v>40</v>
      </c>
    </row>
    <row r="775" spans="17:17">
      <c r="Q775" s="4">
        <v>32</v>
      </c>
    </row>
    <row r="776" spans="17:17">
      <c r="Q776" s="4">
        <v>40</v>
      </c>
    </row>
    <row r="777" spans="17:17">
      <c r="Q777" s="4">
        <v>80</v>
      </c>
    </row>
    <row r="778" spans="17:17">
      <c r="Q778" s="4">
        <v>0</v>
      </c>
    </row>
    <row r="779" spans="17:17">
      <c r="Q779" s="4">
        <v>8</v>
      </c>
    </row>
    <row r="780" spans="17:17">
      <c r="Q780" s="4">
        <v>0</v>
      </c>
    </row>
    <row r="781" spans="17:17">
      <c r="Q781" s="4">
        <v>0</v>
      </c>
    </row>
    <row r="782" spans="17:17">
      <c r="Q782" s="4">
        <v>0</v>
      </c>
    </row>
    <row r="783" spans="17:17">
      <c r="Q783" s="4">
        <v>120</v>
      </c>
    </row>
    <row r="784" spans="17:17">
      <c r="Q784" s="4">
        <v>0</v>
      </c>
    </row>
  </sheetData>
  <mergeCells count="22">
    <mergeCell ref="P17:Q17"/>
    <mergeCell ref="A15:B15"/>
    <mergeCell ref="A6:B6"/>
    <mergeCell ref="A9:B9"/>
    <mergeCell ref="A11:B11"/>
    <mergeCell ref="A7:B7"/>
    <mergeCell ref="A8:B8"/>
    <mergeCell ref="A10:B10"/>
    <mergeCell ref="A12:B12"/>
    <mergeCell ref="A13:B13"/>
    <mergeCell ref="A14:B14"/>
    <mergeCell ref="U3:X3"/>
    <mergeCell ref="E3:E4"/>
    <mergeCell ref="Y3:AA3"/>
    <mergeCell ref="C3:D3"/>
    <mergeCell ref="A3:B4"/>
    <mergeCell ref="F3:F4"/>
    <mergeCell ref="G3:G4"/>
    <mergeCell ref="H3:H4"/>
    <mergeCell ref="I3:I4"/>
    <mergeCell ref="J3:O3"/>
    <mergeCell ref="P3:T3"/>
  </mergeCells>
  <phoneticPr fontId="0" type="noConversion"/>
  <pageMargins left="0.75" right="0.75" top="1" bottom="1" header="0" footer="0"/>
  <pageSetup scale="10"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Parámetros!$B$4:$B$10</xm:f>
          </x14:formula1>
          <xm:sqref>R17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zoomScaleNormal="100" workbookViewId="0">
      <selection activeCell="C13" sqref="C13:C22"/>
    </sheetView>
  </sheetViews>
  <sheetFormatPr baseColWidth="10" defaultRowHeight="12.75"/>
  <cols>
    <col min="2" max="2" width="21.5703125" bestFit="1" customWidth="1"/>
    <col min="3" max="3" width="17.7109375" customWidth="1"/>
  </cols>
  <sheetData>
    <row r="2" spans="2:3">
      <c r="B2" s="5" t="s">
        <v>35</v>
      </c>
    </row>
    <row r="3" spans="2:3">
      <c r="B3" s="39" t="s">
        <v>41</v>
      </c>
      <c r="C3" s="39" t="s">
        <v>42</v>
      </c>
    </row>
    <row r="4" spans="2:3">
      <c r="B4" s="22" t="s">
        <v>32</v>
      </c>
      <c r="C4" s="20">
        <v>1.5</v>
      </c>
    </row>
    <row r="5" spans="2:3">
      <c r="B5" s="22" t="s">
        <v>33</v>
      </c>
      <c r="C5" s="20">
        <v>1.7</v>
      </c>
    </row>
    <row r="6" spans="2:3">
      <c r="B6" s="22" t="s">
        <v>34</v>
      </c>
      <c r="C6" s="20">
        <v>1.7</v>
      </c>
    </row>
    <row r="7" spans="2:3">
      <c r="B7" s="37" t="s">
        <v>38</v>
      </c>
      <c r="C7" s="38">
        <v>1.5</v>
      </c>
    </row>
    <row r="8" spans="2:3">
      <c r="B8" s="37" t="s">
        <v>39</v>
      </c>
      <c r="C8" s="38">
        <v>2</v>
      </c>
    </row>
    <row r="9" spans="2:3">
      <c r="B9" s="37" t="s">
        <v>40</v>
      </c>
      <c r="C9" s="38">
        <v>1.5</v>
      </c>
    </row>
    <row r="10" spans="2:3">
      <c r="B10" s="85" t="s">
        <v>69</v>
      </c>
      <c r="C10" s="20">
        <v>1</v>
      </c>
    </row>
    <row r="12" spans="2:3">
      <c r="B12" t="s">
        <v>0</v>
      </c>
    </row>
    <row r="13" spans="2:3">
      <c r="B13" s="50">
        <v>0</v>
      </c>
      <c r="C13" s="9" t="s">
        <v>56</v>
      </c>
    </row>
    <row r="14" spans="2:3">
      <c r="B14" s="50">
        <v>1</v>
      </c>
      <c r="C14" s="9" t="s">
        <v>65</v>
      </c>
    </row>
    <row r="15" spans="2:3">
      <c r="B15" s="50">
        <v>2</v>
      </c>
      <c r="C15" s="9" t="s">
        <v>1</v>
      </c>
    </row>
    <row r="16" spans="2:3">
      <c r="B16" s="50">
        <v>3</v>
      </c>
      <c r="C16" s="9" t="s">
        <v>66</v>
      </c>
    </row>
    <row r="17" spans="2:3">
      <c r="B17" s="50">
        <v>4</v>
      </c>
      <c r="C17" s="9" t="s">
        <v>2</v>
      </c>
    </row>
    <row r="18" spans="2:3">
      <c r="B18" s="50">
        <v>5</v>
      </c>
      <c r="C18" s="9" t="s">
        <v>67</v>
      </c>
    </row>
    <row r="19" spans="2:3">
      <c r="B19" s="50">
        <v>6</v>
      </c>
      <c r="C19" s="9" t="s">
        <v>3</v>
      </c>
    </row>
    <row r="20" spans="2:3">
      <c r="B20" s="50">
        <v>7</v>
      </c>
      <c r="C20" s="9" t="s">
        <v>68</v>
      </c>
    </row>
    <row r="21" spans="2:3">
      <c r="B21" s="50">
        <v>8</v>
      </c>
      <c r="C21" s="9" t="s">
        <v>4</v>
      </c>
    </row>
    <row r="22" spans="2:3">
      <c r="B22" s="50">
        <v>9</v>
      </c>
      <c r="C22" s="9" t="s">
        <v>84</v>
      </c>
    </row>
    <row r="23" spans="2:3">
      <c r="B23" s="50">
        <v>10</v>
      </c>
      <c r="C23" s="9"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G3"/>
  <sheetViews>
    <sheetView topLeftCell="B1" workbookViewId="0">
      <selection activeCell="G2" sqref="G2"/>
    </sheetView>
  </sheetViews>
  <sheetFormatPr baseColWidth="10" defaultRowHeight="12.75"/>
  <cols>
    <col min="3" max="3" width="38.7109375" customWidth="1"/>
    <col min="4" max="4" width="23.42578125" customWidth="1"/>
    <col min="5" max="5" width="25.85546875" customWidth="1"/>
    <col min="6" max="7" width="20" customWidth="1"/>
  </cols>
  <sheetData>
    <row r="2" spans="3:7">
      <c r="C2" s="44" t="s">
        <v>44</v>
      </c>
      <c r="D2" s="44" t="s">
        <v>46</v>
      </c>
      <c r="E2" s="44" t="s">
        <v>47</v>
      </c>
      <c r="F2" s="44" t="s">
        <v>49</v>
      </c>
      <c r="G2" s="44" t="s">
        <v>50</v>
      </c>
    </row>
    <row r="3" spans="3:7" ht="63.75">
      <c r="C3" s="46" t="s">
        <v>45</v>
      </c>
      <c r="D3" s="46" t="s">
        <v>52</v>
      </c>
      <c r="E3" s="47" t="s">
        <v>48</v>
      </c>
      <c r="F3" s="48" t="s">
        <v>51</v>
      </c>
      <c r="G3" s="48"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K20"/>
  <sheetViews>
    <sheetView tabSelected="1" zoomScale="85" zoomScaleNormal="85" workbookViewId="0">
      <selection activeCell="C20" sqref="C20"/>
    </sheetView>
  </sheetViews>
  <sheetFormatPr baseColWidth="10" defaultRowHeight="12.75"/>
  <cols>
    <col min="3" max="3" width="37.140625" customWidth="1"/>
    <col min="6" max="6" width="17.28515625" customWidth="1"/>
  </cols>
  <sheetData>
    <row r="5" spans="2:6" ht="15.75">
      <c r="B5" s="160" t="s">
        <v>77</v>
      </c>
      <c r="C5" s="160"/>
      <c r="D5" s="160"/>
    </row>
    <row r="6" spans="2:6" ht="15.75">
      <c r="B6" s="95" t="s">
        <v>78</v>
      </c>
      <c r="C6" s="95" t="s">
        <v>79</v>
      </c>
      <c r="D6" s="95" t="s">
        <v>80</v>
      </c>
    </row>
    <row r="7" spans="2:6" ht="15.75">
      <c r="B7" s="89">
        <v>1</v>
      </c>
      <c r="C7" s="88" t="s">
        <v>87</v>
      </c>
      <c r="D7" s="92">
        <f>0.15*Requerimientos!G55</f>
        <v>13.7064</v>
      </c>
      <c r="E7" s="100"/>
    </row>
    <row r="8" spans="2:6" ht="15.75">
      <c r="B8" s="89">
        <v>2</v>
      </c>
      <c r="C8" s="88" t="s">
        <v>82</v>
      </c>
      <c r="D8" s="93">
        <f>Requerimientos!J55</f>
        <v>10.416</v>
      </c>
      <c r="E8" s="97"/>
    </row>
    <row r="9" spans="2:6" ht="15.75">
      <c r="B9" s="89">
        <v>4</v>
      </c>
      <c r="C9" s="88" t="s">
        <v>16</v>
      </c>
      <c r="D9" s="93">
        <f>Requerimientos!M55</f>
        <v>54.080000000000013</v>
      </c>
      <c r="E9" s="99"/>
    </row>
    <row r="10" spans="2:6" ht="15.75">
      <c r="B10" s="89">
        <v>6</v>
      </c>
      <c r="C10" s="88" t="s">
        <v>83</v>
      </c>
      <c r="D10" s="93">
        <f>Requerimientos!P55</f>
        <v>21</v>
      </c>
      <c r="E10" s="100"/>
      <c r="F10" s="162"/>
    </row>
    <row r="11" spans="2:6" ht="15.75">
      <c r="B11" s="89">
        <v>7</v>
      </c>
      <c r="C11" s="88" t="s">
        <v>23</v>
      </c>
      <c r="D11" s="93">
        <f>Requerimientos!Q55</f>
        <v>5.88</v>
      </c>
      <c r="E11" s="97"/>
    </row>
    <row r="12" spans="2:6" ht="15.75">
      <c r="B12" s="90" t="s">
        <v>81</v>
      </c>
      <c r="C12" s="91"/>
      <c r="D12" s="94">
        <f>SUM(D7:D11)</f>
        <v>105.08240000000001</v>
      </c>
      <c r="E12" s="161"/>
    </row>
    <row r="13" spans="2:6" ht="15.75">
      <c r="C13" s="88"/>
      <c r="E13" s="161"/>
    </row>
    <row r="15" spans="2:6">
      <c r="D15" s="101"/>
    </row>
    <row r="20" spans="9:11">
      <c r="I20" s="44"/>
      <c r="J20" s="63"/>
      <c r="K20" s="44"/>
    </row>
  </sheetData>
  <mergeCells count="1">
    <mergeCell ref="B5:D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Requerimientos</vt:lpstr>
      <vt:lpstr>Tabla</vt:lpstr>
      <vt:lpstr>Parámetros</vt:lpstr>
      <vt:lpstr>Hoja1</vt:lpstr>
      <vt:lpstr>Estimacion</vt:lpstr>
    </vt:vector>
  </TitlesOfParts>
  <Company>Pacifico Vida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de la Cruz Loyola</dc:creator>
  <cp:lastModifiedBy>USUARIO</cp:lastModifiedBy>
  <cp:lastPrinted>2001-06-22T16:15:01Z</cp:lastPrinted>
  <dcterms:created xsi:type="dcterms:W3CDTF">2000-02-23T21:40:11Z</dcterms:created>
  <dcterms:modified xsi:type="dcterms:W3CDTF">2022-02-17T22:05:56Z</dcterms:modified>
</cp:coreProperties>
</file>